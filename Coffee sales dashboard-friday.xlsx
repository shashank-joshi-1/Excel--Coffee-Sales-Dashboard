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087be8fb04f2796f/Desktop/"/>
    </mc:Choice>
  </mc:AlternateContent>
  <xr:revisionPtr revIDLastSave="192" documentId="8_{763D5F2B-6AA2-4721-BF51-4C249B881014}" xr6:coauthVersionLast="47" xr6:coauthVersionMax="47" xr10:uidLastSave="{A7813C03-437A-4D3D-9670-5D2F8766203B}"/>
  <bookViews>
    <workbookView xWindow="-120" yWindow="-120" windowWidth="20730" windowHeight="11040" firstSheet="1" activeTab="6" xr2:uid="{00000000-000D-0000-FFFF-FFFF00000000}"/>
  </bookViews>
  <sheets>
    <sheet name="Coffee Sales Dashboard" sheetId="21" r:id="rId1"/>
    <sheet name="Total Sales" sheetId="18" r:id="rId2"/>
    <sheet name="Country Bar Chart" sheetId="19" r:id="rId3"/>
    <sheet name="Top 5 Customer"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7" i="17"/>
  <c r="O41" i="17"/>
  <c r="O42" i="17"/>
  <c r="O49" i="17"/>
  <c r="O55" i="17"/>
  <c r="O61" i="17"/>
  <c r="O63" i="17"/>
  <c r="O65" i="17"/>
  <c r="O73" i="17"/>
  <c r="O85" i="17"/>
  <c r="O89" i="17"/>
  <c r="O93" i="17"/>
  <c r="O101" i="17"/>
  <c r="O103" i="17"/>
  <c r="O119" i="17"/>
  <c r="O121" i="17"/>
  <c r="O125" i="17"/>
  <c r="O127" i="17"/>
  <c r="O147" i="17"/>
  <c r="O169" i="17"/>
  <c r="O185" i="17"/>
  <c r="O195" i="17"/>
  <c r="O197" i="17"/>
  <c r="O199" i="17"/>
  <c r="O205" i="17"/>
  <c r="O213" i="17"/>
  <c r="O219" i="17"/>
  <c r="O221" i="17"/>
  <c r="O233" i="17"/>
  <c r="O235" i="17"/>
  <c r="O237" i="17"/>
  <c r="O259" i="17"/>
  <c r="O261" i="17"/>
  <c r="O275" i="17"/>
  <c r="O277" i="17"/>
  <c r="O279" i="17"/>
  <c r="O283" i="17"/>
  <c r="O289" i="17"/>
  <c r="O299" i="17"/>
  <c r="O309" i="17"/>
  <c r="O321" i="17"/>
  <c r="O337" i="17"/>
  <c r="O343" i="17"/>
  <c r="O367" i="17"/>
  <c r="O369" i="17"/>
  <c r="O373" i="17"/>
  <c r="O389" i="17"/>
  <c r="O403" i="17"/>
  <c r="O415" i="17"/>
  <c r="O421" i="17"/>
  <c r="O439" i="17"/>
  <c r="O447" i="17"/>
  <c r="O471" i="17"/>
  <c r="O483" i="17"/>
  <c r="O517" i="17"/>
  <c r="O527" i="17"/>
  <c r="O533" i="17"/>
  <c r="O535" i="17"/>
  <c r="O546" i="17"/>
  <c r="O579" i="17"/>
  <c r="O583" i="17"/>
  <c r="O603" i="17"/>
  <c r="O615" i="17"/>
  <c r="O627" i="17"/>
  <c r="O653" i="17"/>
  <c r="O667" i="17"/>
  <c r="O669" i="17"/>
  <c r="O707" i="17"/>
  <c r="O715" i="17"/>
  <c r="O733" i="17"/>
  <c r="O753" i="17"/>
  <c r="O779" i="17"/>
  <c r="O783" i="17"/>
  <c r="O799" i="17"/>
  <c r="O801" i="17"/>
  <c r="O835" i="17"/>
  <c r="O845" i="17"/>
  <c r="O847" i="17"/>
  <c r="O873" i="17"/>
  <c r="O891" i="17"/>
  <c r="O911" i="17"/>
  <c r="O923" i="17"/>
  <c r="O933" i="17"/>
  <c r="O959" i="17"/>
  <c r="O987" i="17"/>
  <c r="O989" i="17"/>
  <c r="O995" i="17"/>
  <c r="N9" i="17"/>
  <c r="N17" i="17"/>
  <c r="N29" i="17"/>
  <c r="N41" i="17"/>
  <c r="N81" i="17"/>
  <c r="N82" i="17"/>
  <c r="N113" i="17"/>
  <c r="N137" i="17"/>
  <c r="N141" i="17"/>
  <c r="N149" i="17"/>
  <c r="N185" i="17"/>
  <c r="N233" i="17"/>
  <c r="N242" i="17"/>
  <c r="N245" i="17"/>
  <c r="N274" i="17"/>
  <c r="N290" i="17"/>
  <c r="N293" i="17"/>
  <c r="N314" i="17"/>
  <c r="N315" i="17"/>
  <c r="N329" i="17"/>
  <c r="N351" i="17"/>
  <c r="N357" i="17"/>
  <c r="N399" i="17"/>
  <c r="N410" i="17"/>
  <c r="N435" i="17"/>
  <c r="N454" i="17"/>
  <c r="N489" i="17"/>
  <c r="N495" i="17"/>
  <c r="N519" i="17"/>
  <c r="N521" i="17"/>
  <c r="N538" i="17"/>
  <c r="N567" i="17"/>
  <c r="N574" i="17"/>
  <c r="N578" i="17"/>
  <c r="N602" i="17"/>
  <c r="N603" i="17"/>
  <c r="N605" i="17"/>
  <c r="N617" i="17"/>
  <c r="N622" i="17"/>
  <c r="N651" i="17"/>
  <c r="N653" i="17"/>
  <c r="N657" i="17"/>
  <c r="N658" i="17"/>
  <c r="N681" i="17"/>
  <c r="N699" i="17"/>
  <c r="N722" i="17"/>
  <c r="N725" i="17"/>
  <c r="N735" i="17"/>
  <c r="N737" i="17"/>
  <c r="N758" i="17"/>
  <c r="N759" i="17"/>
  <c r="N761" i="17"/>
  <c r="N773" i="17"/>
  <c r="N777" i="17"/>
  <c r="N795" i="17"/>
  <c r="N797" i="17"/>
  <c r="N807" i="17"/>
  <c r="N809" i="17"/>
  <c r="N831" i="17"/>
  <c r="N845" i="17"/>
  <c r="N849" i="17"/>
  <c r="N866" i="17"/>
  <c r="N879" i="17"/>
  <c r="N881" i="17"/>
  <c r="N902" i="17"/>
  <c r="N905" i="17"/>
  <c r="N917" i="17"/>
  <c r="N921" i="17"/>
  <c r="N938" i="17"/>
  <c r="N939" i="17"/>
  <c r="N951" i="17"/>
  <c r="N975" i="17"/>
  <c r="N981" i="17"/>
  <c r="N982" i="17"/>
  <c r="M10" i="17"/>
  <c r="M14" i="17"/>
  <c r="M15" i="17"/>
  <c r="M17" i="17"/>
  <c r="M18" i="17"/>
  <c r="M19" i="17"/>
  <c r="M30" i="17"/>
  <c r="M34" i="17"/>
  <c r="M35" i="17"/>
  <c r="M42" i="17"/>
  <c r="M47" i="17"/>
  <c r="M50" i="17"/>
  <c r="M58" i="17"/>
  <c r="M69" i="17"/>
  <c r="M74" i="17"/>
  <c r="M81" i="17"/>
  <c r="M98" i="17"/>
  <c r="M99" i="17"/>
  <c r="M102" i="17"/>
  <c r="M111" i="17"/>
  <c r="M114" i="17"/>
  <c r="M115" i="17"/>
  <c r="M122" i="17"/>
  <c r="M135" i="17"/>
  <c r="M138" i="17"/>
  <c r="M139" i="17"/>
  <c r="M140" i="17"/>
  <c r="M155" i="17"/>
  <c r="M158" i="17"/>
  <c r="M161" i="17"/>
  <c r="M163" i="17"/>
  <c r="M171" i="17"/>
  <c r="M173" i="17"/>
  <c r="M175" i="17"/>
  <c r="M186" i="17"/>
  <c r="M190" i="17"/>
  <c r="M191" i="17"/>
  <c r="M199" i="17"/>
  <c r="M202" i="17"/>
  <c r="M203" i="17"/>
  <c r="M215" i="17"/>
  <c r="M218" i="17"/>
  <c r="M219" i="17"/>
  <c r="M221" i="17"/>
  <c r="M234" i="17"/>
  <c r="M238" i="17"/>
  <c r="M246" i="17"/>
  <c r="M254" i="17"/>
  <c r="M259" i="17"/>
  <c r="M265" i="17"/>
  <c r="M278" i="17"/>
  <c r="M282" i="17"/>
  <c r="M283" i="17"/>
  <c r="M291" i="17"/>
  <c r="M295" i="17"/>
  <c r="M299" i="17"/>
  <c r="M303" i="17"/>
  <c r="M310" i="17"/>
  <c r="M315" i="17"/>
  <c r="M318" i="17"/>
  <c r="M319" i="17"/>
  <c r="M320" i="17"/>
  <c r="M330" i="17"/>
  <c r="M334" i="17"/>
  <c r="M335" i="17"/>
  <c r="M337" i="17"/>
  <c r="M338" i="17"/>
  <c r="M342" i="17"/>
  <c r="M346" i="17"/>
  <c r="M350" i="17"/>
  <c r="M359" i="17"/>
  <c r="M371" i="17"/>
  <c r="M374" i="17"/>
  <c r="M375" i="17"/>
  <c r="M386" i="17"/>
  <c r="M390" i="17"/>
  <c r="M391" i="17"/>
  <c r="M394" i="17"/>
  <c r="M395" i="17"/>
  <c r="M403" i="17"/>
  <c r="M408" i="17"/>
  <c r="M411" i="17"/>
  <c r="M414" i="17"/>
  <c r="M422" i="17"/>
  <c r="M423" i="17"/>
  <c r="M426" i="17"/>
  <c r="M427" i="17"/>
  <c r="M433" i="17"/>
  <c r="M446" i="17"/>
  <c r="M450" i="17"/>
  <c r="M459" i="17"/>
  <c r="M464" i="17"/>
  <c r="M479" i="17"/>
  <c r="M482" i="17"/>
  <c r="M487" i="17"/>
  <c r="M489" i="17"/>
  <c r="M499" i="17"/>
  <c r="M503" i="17"/>
  <c r="M506" i="17"/>
  <c r="M507" i="17"/>
  <c r="M515" i="17"/>
  <c r="M519" i="17"/>
  <c r="M538" i="17"/>
  <c r="M539" i="17"/>
  <c r="M542" i="17"/>
  <c r="M543" i="17"/>
  <c r="M558" i="17"/>
  <c r="M562" i="17"/>
  <c r="M567" i="17"/>
  <c r="M570" i="17"/>
  <c r="M575" i="17"/>
  <c r="M578" i="17"/>
  <c r="M586" i="17"/>
  <c r="M587" i="17"/>
  <c r="M590" i="17"/>
  <c r="M591" i="17"/>
  <c r="M594" i="17"/>
  <c r="M603" i="17"/>
  <c r="M606" i="17"/>
  <c r="M610" i="17"/>
  <c r="M611" i="17"/>
  <c r="M613" i="17"/>
  <c r="M622" i="17"/>
  <c r="M627" i="17"/>
  <c r="M630" i="17"/>
  <c r="M638" i="17"/>
  <c r="M642" i="17"/>
  <c r="M647" i="17"/>
  <c r="M658" i="17"/>
  <c r="M659" i="17"/>
  <c r="M674" i="17"/>
  <c r="M675" i="17"/>
  <c r="M678" i="17"/>
  <c r="M682" i="17"/>
  <c r="M694" i="17"/>
  <c r="M695" i="17"/>
  <c r="M699" i="17"/>
  <c r="M706" i="17"/>
  <c r="M707" i="17"/>
  <c r="M711" i="17"/>
  <c r="M714" i="17"/>
  <c r="M722" i="17"/>
  <c r="M730" i="17"/>
  <c r="M743" i="17"/>
  <c r="M746" i="17"/>
  <c r="M747" i="17"/>
  <c r="M749" i="17"/>
  <c r="M759" i="17"/>
  <c r="M762" i="17"/>
  <c r="M763" i="17"/>
  <c r="M766" i="17"/>
  <c r="M774" i="17"/>
  <c r="M778" i="17"/>
  <c r="M787" i="17"/>
  <c r="M790" i="17"/>
  <c r="M791" i="17"/>
  <c r="M793" i="17"/>
  <c r="M806" i="17"/>
  <c r="M807" i="17"/>
  <c r="M810" i="17"/>
  <c r="M811" i="17"/>
  <c r="M814" i="17"/>
  <c r="M823" i="17"/>
  <c r="M826" i="17"/>
  <c r="M835" i="17"/>
  <c r="M837" i="17"/>
  <c r="M843" i="17"/>
  <c r="M850" i="17"/>
  <c r="M851" i="17"/>
  <c r="M854" i="17"/>
  <c r="M859" i="17"/>
  <c r="M867" i="17"/>
  <c r="M871" i="17"/>
  <c r="M875" i="17"/>
  <c r="M882" i="17"/>
  <c r="M891" i="17"/>
  <c r="M895" i="17"/>
  <c r="M899" i="17"/>
  <c r="M903" i="17"/>
  <c r="M906" i="17"/>
  <c r="M911" i="17"/>
  <c r="M915" i="17"/>
  <c r="M918" i="17"/>
  <c r="M922" i="17"/>
  <c r="M930" i="17"/>
  <c r="M931" i="17"/>
  <c r="M935" i="17"/>
  <c r="M937" i="17"/>
  <c r="M946" i="17"/>
  <c r="M950" i="17"/>
  <c r="M951" i="17"/>
  <c r="M959" i="17"/>
  <c r="M961" i="17"/>
  <c r="M967" i="17"/>
  <c r="M974" i="17"/>
  <c r="M975" i="17"/>
  <c r="M979" i="17"/>
  <c r="M981" i="17"/>
  <c r="M994" i="17"/>
  <c r="M995" i="17"/>
  <c r="M999" i="17"/>
  <c r="I2" i="17"/>
  <c r="N2" i="17" s="1"/>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J11" i="17"/>
  <c r="O11" i="17" s="1"/>
  <c r="K11" i="17"/>
  <c r="L11" i="17"/>
  <c r="M11" i="17" s="1"/>
  <c r="J12" i="17"/>
  <c r="O12" i="17" s="1"/>
  <c r="K12" i="17"/>
  <c r="L12" i="17"/>
  <c r="M12" i="17" s="1"/>
  <c r="J13" i="17"/>
  <c r="O13" i="17" s="1"/>
  <c r="K13" i="17"/>
  <c r="L13" i="17"/>
  <c r="M13" i="17" s="1"/>
  <c r="J14" i="17"/>
  <c r="O14" i="17" s="1"/>
  <c r="K14" i="17"/>
  <c r="L14" i="17"/>
  <c r="J15" i="17"/>
  <c r="O15" i="17" s="1"/>
  <c r="K15" i="17"/>
  <c r="L15" i="17"/>
  <c r="J16" i="17"/>
  <c r="O16" i="17" s="1"/>
  <c r="K16" i="17"/>
  <c r="L16" i="17"/>
  <c r="M16" i="17" s="1"/>
  <c r="J17" i="17"/>
  <c r="O17" i="17" s="1"/>
  <c r="K17" i="17"/>
  <c r="L17" i="17"/>
  <c r="J18" i="17"/>
  <c r="O18" i="17" s="1"/>
  <c r="K18" i="17"/>
  <c r="L18" i="17"/>
  <c r="J19" i="17"/>
  <c r="O19" i="17" s="1"/>
  <c r="K19" i="17"/>
  <c r="L19" i="17"/>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J31" i="17"/>
  <c r="O31" i="17" s="1"/>
  <c r="K31" i="17"/>
  <c r="L31" i="17"/>
  <c r="M31" i="17" s="1"/>
  <c r="J32" i="17"/>
  <c r="O32" i="17" s="1"/>
  <c r="K32" i="17"/>
  <c r="L32" i="17"/>
  <c r="M32" i="17" s="1"/>
  <c r="J33" i="17"/>
  <c r="O33" i="17" s="1"/>
  <c r="K33" i="17"/>
  <c r="L33" i="17"/>
  <c r="M33" i="17" s="1"/>
  <c r="J34" i="17"/>
  <c r="O34" i="17" s="1"/>
  <c r="K34" i="17"/>
  <c r="L34" i="17"/>
  <c r="J35" i="17"/>
  <c r="O35" i="17" s="1"/>
  <c r="K35" i="17"/>
  <c r="L35" i="17"/>
  <c r="J36" i="17"/>
  <c r="O36" i="17" s="1"/>
  <c r="K36" i="17"/>
  <c r="L36" i="17"/>
  <c r="M36" i="17" s="1"/>
  <c r="J37" i="17"/>
  <c r="K37" i="17"/>
  <c r="L37" i="17"/>
  <c r="M37" i="17" s="1"/>
  <c r="J38" i="17"/>
  <c r="O38" i="17" s="1"/>
  <c r="K38" i="17"/>
  <c r="L38" i="17"/>
  <c r="M38" i="17" s="1"/>
  <c r="J39" i="17"/>
  <c r="O39" i="17" s="1"/>
  <c r="K39" i="17"/>
  <c r="L39" i="17"/>
  <c r="M39" i="17" s="1"/>
  <c r="J40" i="17"/>
  <c r="O40" i="17" s="1"/>
  <c r="K40" i="17"/>
  <c r="L40" i="17"/>
  <c r="M40" i="17" s="1"/>
  <c r="J41" i="17"/>
  <c r="K41" i="17"/>
  <c r="L41" i="17"/>
  <c r="M41" i="17" s="1"/>
  <c r="J42" i="17"/>
  <c r="K42" i="17"/>
  <c r="L42" i="17"/>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J48" i="17"/>
  <c r="O48" i="17" s="1"/>
  <c r="K48" i="17"/>
  <c r="L48" i="17"/>
  <c r="M48" i="17" s="1"/>
  <c r="J49" i="17"/>
  <c r="K49" i="17"/>
  <c r="L49" i="17"/>
  <c r="M49" i="17" s="1"/>
  <c r="J50" i="17"/>
  <c r="O50" i="17" s="1"/>
  <c r="K50" i="17"/>
  <c r="L50" i="17"/>
  <c r="J51" i="17"/>
  <c r="O51" i="17" s="1"/>
  <c r="K51" i="17"/>
  <c r="L51" i="17"/>
  <c r="M51" i="17" s="1"/>
  <c r="J52" i="17"/>
  <c r="O52" i="17" s="1"/>
  <c r="K52" i="17"/>
  <c r="L52" i="17"/>
  <c r="M52" i="17" s="1"/>
  <c r="J53" i="17"/>
  <c r="O53" i="17" s="1"/>
  <c r="K53" i="17"/>
  <c r="L53" i="17"/>
  <c r="M53" i="17" s="1"/>
  <c r="J54" i="17"/>
  <c r="O54" i="17" s="1"/>
  <c r="K54" i="17"/>
  <c r="L54" i="17"/>
  <c r="M54" i="17" s="1"/>
  <c r="J55" i="17"/>
  <c r="K55" i="17"/>
  <c r="L55" i="17"/>
  <c r="M55" i="17" s="1"/>
  <c r="J56" i="17"/>
  <c r="O56" i="17" s="1"/>
  <c r="K56" i="17"/>
  <c r="L56" i="17"/>
  <c r="M56" i="17" s="1"/>
  <c r="J57" i="17"/>
  <c r="O57" i="17" s="1"/>
  <c r="K57" i="17"/>
  <c r="L57" i="17"/>
  <c r="M57" i="17" s="1"/>
  <c r="J58" i="17"/>
  <c r="O58" i="17" s="1"/>
  <c r="K58" i="17"/>
  <c r="L58" i="17"/>
  <c r="J59" i="17"/>
  <c r="O59" i="17" s="1"/>
  <c r="K59" i="17"/>
  <c r="L59" i="17"/>
  <c r="M59" i="17" s="1"/>
  <c r="J60" i="17"/>
  <c r="O60" i="17" s="1"/>
  <c r="K60" i="17"/>
  <c r="L60" i="17"/>
  <c r="M60" i="17" s="1"/>
  <c r="J61" i="17"/>
  <c r="K61" i="17"/>
  <c r="L61" i="17"/>
  <c r="M61" i="17" s="1"/>
  <c r="J62" i="17"/>
  <c r="O62" i="17" s="1"/>
  <c r="K62" i="17"/>
  <c r="L62" i="17"/>
  <c r="M62" i="17" s="1"/>
  <c r="J63" i="17"/>
  <c r="K63" i="17"/>
  <c r="L63" i="17"/>
  <c r="M63" i="17" s="1"/>
  <c r="J64" i="17"/>
  <c r="O64" i="17" s="1"/>
  <c r="K64" i="17"/>
  <c r="L64" i="17"/>
  <c r="M64" i="17" s="1"/>
  <c r="J65" i="17"/>
  <c r="K65" i="17"/>
  <c r="L65" i="17"/>
  <c r="M65" i="17" s="1"/>
  <c r="J66" i="17"/>
  <c r="O66" i="17" s="1"/>
  <c r="K66" i="17"/>
  <c r="L66" i="17"/>
  <c r="M66" i="17" s="1"/>
  <c r="J67" i="17"/>
  <c r="O67" i="17" s="1"/>
  <c r="K67" i="17"/>
  <c r="L67" i="17"/>
  <c r="M67" i="17" s="1"/>
  <c r="J68" i="17"/>
  <c r="O68" i="17" s="1"/>
  <c r="K68" i="17"/>
  <c r="L68" i="17"/>
  <c r="M68" i="17" s="1"/>
  <c r="J69" i="17"/>
  <c r="O69" i="17" s="1"/>
  <c r="K69" i="17"/>
  <c r="L69" i="17"/>
  <c r="J70" i="17"/>
  <c r="O70" i="17" s="1"/>
  <c r="K70" i="17"/>
  <c r="L70" i="17"/>
  <c r="M70" i="17" s="1"/>
  <c r="J71" i="17"/>
  <c r="O71" i="17" s="1"/>
  <c r="K71" i="17"/>
  <c r="L71" i="17"/>
  <c r="M71" i="17" s="1"/>
  <c r="J72" i="17"/>
  <c r="O72" i="17" s="1"/>
  <c r="K72" i="17"/>
  <c r="L72" i="17"/>
  <c r="M72" i="17" s="1"/>
  <c r="J73" i="17"/>
  <c r="K73" i="17"/>
  <c r="L73" i="17"/>
  <c r="M73" i="17" s="1"/>
  <c r="J74" i="17"/>
  <c r="O74" i="17" s="1"/>
  <c r="K74" i="17"/>
  <c r="L74" i="17"/>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J82" i="17"/>
  <c r="O82" i="17" s="1"/>
  <c r="K82" i="17"/>
  <c r="L82" i="17"/>
  <c r="M82" i="17" s="1"/>
  <c r="J83" i="17"/>
  <c r="O83" i="17" s="1"/>
  <c r="K83" i="17"/>
  <c r="L83" i="17"/>
  <c r="M83" i="17" s="1"/>
  <c r="J84" i="17"/>
  <c r="O84" i="17" s="1"/>
  <c r="K84" i="17"/>
  <c r="L84" i="17"/>
  <c r="M84" i="17" s="1"/>
  <c r="J85" i="17"/>
  <c r="K85" i="17"/>
  <c r="L85" i="17"/>
  <c r="M85" i="17" s="1"/>
  <c r="J86" i="17"/>
  <c r="O86" i="17" s="1"/>
  <c r="K86" i="17"/>
  <c r="L86" i="17"/>
  <c r="M86" i="17" s="1"/>
  <c r="J87" i="17"/>
  <c r="O87" i="17" s="1"/>
  <c r="K87" i="17"/>
  <c r="L87" i="17"/>
  <c r="M87" i="17" s="1"/>
  <c r="J88" i="17"/>
  <c r="O88" i="17" s="1"/>
  <c r="K88" i="17"/>
  <c r="L88" i="17"/>
  <c r="M88" i="17" s="1"/>
  <c r="J89" i="17"/>
  <c r="K89" i="17"/>
  <c r="L89" i="17"/>
  <c r="M89" i="17" s="1"/>
  <c r="J90" i="17"/>
  <c r="O90" i="17" s="1"/>
  <c r="K90" i="17"/>
  <c r="L90" i="17"/>
  <c r="M90" i="17" s="1"/>
  <c r="J91" i="17"/>
  <c r="O91" i="17" s="1"/>
  <c r="K91" i="17"/>
  <c r="L91" i="17"/>
  <c r="M91" i="17" s="1"/>
  <c r="J92" i="17"/>
  <c r="O92" i="17" s="1"/>
  <c r="K92" i="17"/>
  <c r="L92" i="17"/>
  <c r="M92" i="17" s="1"/>
  <c r="J93" i="17"/>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J99" i="17"/>
  <c r="O99" i="17" s="1"/>
  <c r="K99" i="17"/>
  <c r="L99" i="17"/>
  <c r="J100" i="17"/>
  <c r="O100" i="17" s="1"/>
  <c r="K100" i="17"/>
  <c r="L100" i="17"/>
  <c r="M100" i="17" s="1"/>
  <c r="J101" i="17"/>
  <c r="K101" i="17"/>
  <c r="L101" i="17"/>
  <c r="M101" i="17" s="1"/>
  <c r="J102" i="17"/>
  <c r="O102" i="17" s="1"/>
  <c r="K102" i="17"/>
  <c r="L102" i="17"/>
  <c r="J103" i="17"/>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J112" i="17"/>
  <c r="O112" i="17" s="1"/>
  <c r="K112" i="17"/>
  <c r="L112" i="17"/>
  <c r="M112" i="17" s="1"/>
  <c r="J113" i="17"/>
  <c r="O113" i="17" s="1"/>
  <c r="K113" i="17"/>
  <c r="L113" i="17"/>
  <c r="M113" i="17" s="1"/>
  <c r="J114" i="17"/>
  <c r="O114" i="17" s="1"/>
  <c r="K114" i="17"/>
  <c r="L114" i="17"/>
  <c r="J115" i="17"/>
  <c r="O115" i="17" s="1"/>
  <c r="K115" i="17"/>
  <c r="L115" i="17"/>
  <c r="J116" i="17"/>
  <c r="O116" i="17" s="1"/>
  <c r="K116" i="17"/>
  <c r="L116" i="17"/>
  <c r="M116" i="17" s="1"/>
  <c r="J117" i="17"/>
  <c r="O117" i="17" s="1"/>
  <c r="K117" i="17"/>
  <c r="L117" i="17"/>
  <c r="M117" i="17" s="1"/>
  <c r="J118" i="17"/>
  <c r="O118" i="17" s="1"/>
  <c r="K118" i="17"/>
  <c r="L118" i="17"/>
  <c r="M118" i="17" s="1"/>
  <c r="J119" i="17"/>
  <c r="K119" i="17"/>
  <c r="L119" i="17"/>
  <c r="M119" i="17" s="1"/>
  <c r="J120" i="17"/>
  <c r="O120" i="17" s="1"/>
  <c r="K120" i="17"/>
  <c r="L120" i="17"/>
  <c r="M120" i="17" s="1"/>
  <c r="J121" i="17"/>
  <c r="K121" i="17"/>
  <c r="L121" i="17"/>
  <c r="M121" i="17" s="1"/>
  <c r="J122" i="17"/>
  <c r="O122" i="17" s="1"/>
  <c r="K122" i="17"/>
  <c r="L122" i="17"/>
  <c r="J123" i="17"/>
  <c r="O123" i="17" s="1"/>
  <c r="K123" i="17"/>
  <c r="L123" i="17"/>
  <c r="M123" i="17" s="1"/>
  <c r="J124" i="17"/>
  <c r="O124" i="17" s="1"/>
  <c r="K124" i="17"/>
  <c r="L124" i="17"/>
  <c r="M124" i="17" s="1"/>
  <c r="J125" i="17"/>
  <c r="K125" i="17"/>
  <c r="L125" i="17"/>
  <c r="M125" i="17" s="1"/>
  <c r="J126" i="17"/>
  <c r="O126" i="17" s="1"/>
  <c r="K126" i="17"/>
  <c r="L126" i="17"/>
  <c r="M126" i="17" s="1"/>
  <c r="J127" i="17"/>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J136" i="17"/>
  <c r="O136" i="17" s="1"/>
  <c r="K136" i="17"/>
  <c r="L136" i="17"/>
  <c r="M136" i="17" s="1"/>
  <c r="J137" i="17"/>
  <c r="O137" i="17" s="1"/>
  <c r="K137" i="17"/>
  <c r="L137" i="17"/>
  <c r="M137" i="17" s="1"/>
  <c r="J138" i="17"/>
  <c r="O138" i="17" s="1"/>
  <c r="K138" i="17"/>
  <c r="L138" i="17"/>
  <c r="J139" i="17"/>
  <c r="O139" i="17" s="1"/>
  <c r="K139" i="17"/>
  <c r="L139" i="17"/>
  <c r="J140" i="17"/>
  <c r="O140" i="17" s="1"/>
  <c r="K140" i="17"/>
  <c r="L140" i="17"/>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J156" i="17"/>
  <c r="O156" i="17" s="1"/>
  <c r="K156" i="17"/>
  <c r="L156" i="17"/>
  <c r="M156" i="17" s="1"/>
  <c r="J157" i="17"/>
  <c r="O157" i="17" s="1"/>
  <c r="K157" i="17"/>
  <c r="L157" i="17"/>
  <c r="M157" i="17" s="1"/>
  <c r="J158" i="17"/>
  <c r="O158" i="17" s="1"/>
  <c r="K158" i="17"/>
  <c r="L158" i="17"/>
  <c r="J159" i="17"/>
  <c r="O159" i="17" s="1"/>
  <c r="K159" i="17"/>
  <c r="L159" i="17"/>
  <c r="M159" i="17" s="1"/>
  <c r="J160" i="17"/>
  <c r="O160" i="17" s="1"/>
  <c r="K160" i="17"/>
  <c r="L160" i="17"/>
  <c r="M160" i="17" s="1"/>
  <c r="J161" i="17"/>
  <c r="O161" i="17" s="1"/>
  <c r="K161" i="17"/>
  <c r="L161" i="17"/>
  <c r="J162" i="17"/>
  <c r="O162" i="17" s="1"/>
  <c r="K162" i="17"/>
  <c r="L162" i="17"/>
  <c r="M162" i="17" s="1"/>
  <c r="J163" i="17"/>
  <c r="O163" i="17" s="1"/>
  <c r="K163" i="17"/>
  <c r="L163" i="17"/>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K169" i="17"/>
  <c r="L169" i="17"/>
  <c r="M169" i="17" s="1"/>
  <c r="J170" i="17"/>
  <c r="O170" i="17" s="1"/>
  <c r="K170" i="17"/>
  <c r="L170" i="17"/>
  <c r="M170" i="17" s="1"/>
  <c r="J171" i="17"/>
  <c r="O171" i="17" s="1"/>
  <c r="K171" i="17"/>
  <c r="L171" i="17"/>
  <c r="J172" i="17"/>
  <c r="O172" i="17" s="1"/>
  <c r="K172" i="17"/>
  <c r="L172" i="17"/>
  <c r="M172" i="17" s="1"/>
  <c r="J173" i="17"/>
  <c r="O173" i="17" s="1"/>
  <c r="K173" i="17"/>
  <c r="L173" i="17"/>
  <c r="J174" i="17"/>
  <c r="O174" i="17" s="1"/>
  <c r="K174" i="17"/>
  <c r="L174" i="17"/>
  <c r="M174" i="17" s="1"/>
  <c r="J175" i="17"/>
  <c r="O175" i="17" s="1"/>
  <c r="K175" i="17"/>
  <c r="L175" i="17"/>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K185" i="17"/>
  <c r="L185" i="17"/>
  <c r="M185" i="17" s="1"/>
  <c r="J186" i="17"/>
  <c r="O186" i="17" s="1"/>
  <c r="K186" i="17"/>
  <c r="L186" i="17"/>
  <c r="J187" i="17"/>
  <c r="O187" i="17" s="1"/>
  <c r="K187" i="17"/>
  <c r="L187" i="17"/>
  <c r="M187" i="17" s="1"/>
  <c r="J188" i="17"/>
  <c r="O188" i="17" s="1"/>
  <c r="K188" i="17"/>
  <c r="L188" i="17"/>
  <c r="M188" i="17" s="1"/>
  <c r="J189" i="17"/>
  <c r="O189" i="17" s="1"/>
  <c r="K189" i="17"/>
  <c r="L189" i="17"/>
  <c r="M189" i="17" s="1"/>
  <c r="J190" i="17"/>
  <c r="O190" i="17" s="1"/>
  <c r="K190" i="17"/>
  <c r="L190" i="17"/>
  <c r="J191" i="17"/>
  <c r="O191" i="17" s="1"/>
  <c r="K191" i="17"/>
  <c r="L191" i="17"/>
  <c r="J192" i="17"/>
  <c r="O192" i="17" s="1"/>
  <c r="K192" i="17"/>
  <c r="L192" i="17"/>
  <c r="M192" i="17" s="1"/>
  <c r="J193" i="17"/>
  <c r="O193" i="17" s="1"/>
  <c r="K193" i="17"/>
  <c r="L193" i="17"/>
  <c r="M193" i="17" s="1"/>
  <c r="J194" i="17"/>
  <c r="O194" i="17" s="1"/>
  <c r="K194" i="17"/>
  <c r="L194" i="17"/>
  <c r="M194" i="17" s="1"/>
  <c r="J195" i="17"/>
  <c r="K195" i="17"/>
  <c r="L195" i="17"/>
  <c r="M195" i="17" s="1"/>
  <c r="J196" i="17"/>
  <c r="O196" i="17" s="1"/>
  <c r="K196" i="17"/>
  <c r="L196" i="17"/>
  <c r="M196" i="17" s="1"/>
  <c r="J197" i="17"/>
  <c r="K197" i="17"/>
  <c r="L197" i="17"/>
  <c r="M197" i="17" s="1"/>
  <c r="J198" i="17"/>
  <c r="O198" i="17" s="1"/>
  <c r="K198" i="17"/>
  <c r="L198" i="17"/>
  <c r="M198" i="17" s="1"/>
  <c r="J199" i="17"/>
  <c r="K199" i="17"/>
  <c r="L199" i="17"/>
  <c r="J200" i="17"/>
  <c r="O200" i="17" s="1"/>
  <c r="K200" i="17"/>
  <c r="L200" i="17"/>
  <c r="M200" i="17" s="1"/>
  <c r="J201" i="17"/>
  <c r="O201" i="17" s="1"/>
  <c r="K201" i="17"/>
  <c r="L201" i="17"/>
  <c r="M201" i="17" s="1"/>
  <c r="J202" i="17"/>
  <c r="O202" i="17" s="1"/>
  <c r="K202" i="17"/>
  <c r="L202" i="17"/>
  <c r="J203" i="17"/>
  <c r="O203" i="17" s="1"/>
  <c r="K203" i="17"/>
  <c r="L203" i="17"/>
  <c r="J204" i="17"/>
  <c r="O204" i="17" s="1"/>
  <c r="K204" i="17"/>
  <c r="L204" i="17"/>
  <c r="M204" i="17" s="1"/>
  <c r="J205" i="17"/>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K213" i="17"/>
  <c r="L213" i="17"/>
  <c r="M213" i="17" s="1"/>
  <c r="J214" i="17"/>
  <c r="O214" i="17" s="1"/>
  <c r="K214" i="17"/>
  <c r="L214" i="17"/>
  <c r="M214" i="17" s="1"/>
  <c r="J215" i="17"/>
  <c r="O215" i="17" s="1"/>
  <c r="K215" i="17"/>
  <c r="L215" i="17"/>
  <c r="J216" i="17"/>
  <c r="O216" i="17" s="1"/>
  <c r="K216" i="17"/>
  <c r="L216" i="17"/>
  <c r="M216" i="17" s="1"/>
  <c r="J217" i="17"/>
  <c r="O217" i="17" s="1"/>
  <c r="K217" i="17"/>
  <c r="L217" i="17"/>
  <c r="M217" i="17" s="1"/>
  <c r="J218" i="17"/>
  <c r="O218" i="17" s="1"/>
  <c r="K218" i="17"/>
  <c r="L218" i="17"/>
  <c r="J219" i="17"/>
  <c r="K219" i="17"/>
  <c r="L219" i="17"/>
  <c r="J220" i="17"/>
  <c r="O220" i="17" s="1"/>
  <c r="K220" i="17"/>
  <c r="L220" i="17"/>
  <c r="M220" i="17" s="1"/>
  <c r="J221" i="17"/>
  <c r="K221" i="17"/>
  <c r="L221" i="17"/>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K233" i="17"/>
  <c r="L233" i="17"/>
  <c r="M233" i="17" s="1"/>
  <c r="J234" i="17"/>
  <c r="O234" i="17" s="1"/>
  <c r="K234" i="17"/>
  <c r="L234" i="17"/>
  <c r="J235" i="17"/>
  <c r="K235" i="17"/>
  <c r="L235" i="17"/>
  <c r="M235" i="17" s="1"/>
  <c r="J236" i="17"/>
  <c r="O236" i="17" s="1"/>
  <c r="K236" i="17"/>
  <c r="L236" i="17"/>
  <c r="M236" i="17" s="1"/>
  <c r="J237" i="17"/>
  <c r="K237" i="17"/>
  <c r="L237" i="17"/>
  <c r="M237" i="17" s="1"/>
  <c r="J238" i="17"/>
  <c r="O238" i="17" s="1"/>
  <c r="K238" i="17"/>
  <c r="L238" i="17"/>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K259" i="17"/>
  <c r="L259" i="17"/>
  <c r="J260" i="17"/>
  <c r="O260" i="17" s="1"/>
  <c r="K260" i="17"/>
  <c r="L260" i="17"/>
  <c r="M260" i="17" s="1"/>
  <c r="J261" i="17"/>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K275" i="17"/>
  <c r="L275" i="17"/>
  <c r="M275" i="17" s="1"/>
  <c r="J276" i="17"/>
  <c r="O276" i="17" s="1"/>
  <c r="K276" i="17"/>
  <c r="L276" i="17"/>
  <c r="M276" i="17" s="1"/>
  <c r="J277" i="17"/>
  <c r="K277" i="17"/>
  <c r="L277" i="17"/>
  <c r="M277" i="17" s="1"/>
  <c r="J278" i="17"/>
  <c r="O278" i="17" s="1"/>
  <c r="K278" i="17"/>
  <c r="L278" i="17"/>
  <c r="J279" i="17"/>
  <c r="K279" i="17"/>
  <c r="L279" i="17"/>
  <c r="M279" i="17" s="1"/>
  <c r="J280" i="17"/>
  <c r="O280" i="17" s="1"/>
  <c r="K280" i="17"/>
  <c r="L280" i="17"/>
  <c r="M280" i="17" s="1"/>
  <c r="J281" i="17"/>
  <c r="O281" i="17" s="1"/>
  <c r="K281" i="17"/>
  <c r="L281" i="17"/>
  <c r="M281" i="17" s="1"/>
  <c r="J282" i="17"/>
  <c r="O282" i="17" s="1"/>
  <c r="K282" i="17"/>
  <c r="L282" i="17"/>
  <c r="J283" i="17"/>
  <c r="K283" i="17"/>
  <c r="L283" i="17"/>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K289" i="17"/>
  <c r="L289" i="17"/>
  <c r="M289" i="17" s="1"/>
  <c r="J290" i="17"/>
  <c r="O290" i="17" s="1"/>
  <c r="K290" i="17"/>
  <c r="L290" i="17"/>
  <c r="M290" i="17" s="1"/>
  <c r="J291" i="17"/>
  <c r="O291" i="17" s="1"/>
  <c r="K291" i="17"/>
  <c r="L291" i="17"/>
  <c r="J292" i="17"/>
  <c r="O292" i="17" s="1"/>
  <c r="K292" i="17"/>
  <c r="L292" i="17"/>
  <c r="M292" i="17" s="1"/>
  <c r="J293" i="17"/>
  <c r="O293" i="17" s="1"/>
  <c r="K293" i="17"/>
  <c r="L293" i="17"/>
  <c r="M293" i="17" s="1"/>
  <c r="J294" i="17"/>
  <c r="O294" i="17" s="1"/>
  <c r="K294" i="17"/>
  <c r="L294" i="17"/>
  <c r="M294" i="17" s="1"/>
  <c r="J295" i="17"/>
  <c r="O295" i="17" s="1"/>
  <c r="K295" i="17"/>
  <c r="L295" i="17"/>
  <c r="J296" i="17"/>
  <c r="O296" i="17" s="1"/>
  <c r="K296" i="17"/>
  <c r="L296" i="17"/>
  <c r="M296" i="17" s="1"/>
  <c r="J297" i="17"/>
  <c r="O297" i="17" s="1"/>
  <c r="K297" i="17"/>
  <c r="L297" i="17"/>
  <c r="M297" i="17" s="1"/>
  <c r="J298" i="17"/>
  <c r="O298" i="17" s="1"/>
  <c r="K298" i="17"/>
  <c r="L298" i="17"/>
  <c r="M298" i="17" s="1"/>
  <c r="J299" i="17"/>
  <c r="K299" i="17"/>
  <c r="L299" i="17"/>
  <c r="J300" i="17"/>
  <c r="O300" i="17" s="1"/>
  <c r="K300" i="17"/>
  <c r="L300" i="17"/>
  <c r="M300" i="17" s="1"/>
  <c r="J301" i="17"/>
  <c r="O301" i="17" s="1"/>
  <c r="K301" i="17"/>
  <c r="L301" i="17"/>
  <c r="M301" i="17" s="1"/>
  <c r="J302" i="17"/>
  <c r="O302" i="17" s="1"/>
  <c r="K302" i="17"/>
  <c r="L302" i="17"/>
  <c r="M302" i="17" s="1"/>
  <c r="J303" i="17"/>
  <c r="O303" i="17" s="1"/>
  <c r="K303" i="17"/>
  <c r="L303" i="17"/>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K309" i="17"/>
  <c r="L309" i="17"/>
  <c r="M309" i="17" s="1"/>
  <c r="J310" i="17"/>
  <c r="O310" i="17" s="1"/>
  <c r="K310" i="17"/>
  <c r="L310" i="17"/>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J316" i="17"/>
  <c r="O316" i="17" s="1"/>
  <c r="K316" i="17"/>
  <c r="L316" i="17"/>
  <c r="M316" i="17" s="1"/>
  <c r="J317" i="17"/>
  <c r="O317" i="17" s="1"/>
  <c r="K317" i="17"/>
  <c r="L317" i="17"/>
  <c r="M317" i="17" s="1"/>
  <c r="J318" i="17"/>
  <c r="O318" i="17" s="1"/>
  <c r="K318" i="17"/>
  <c r="L318" i="17"/>
  <c r="J319" i="17"/>
  <c r="O319" i="17" s="1"/>
  <c r="K319" i="17"/>
  <c r="L319" i="17"/>
  <c r="J320" i="17"/>
  <c r="O320" i="17" s="1"/>
  <c r="K320" i="17"/>
  <c r="L320" i="17"/>
  <c r="J321" i="17"/>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J331" i="17"/>
  <c r="O331" i="17" s="1"/>
  <c r="K331" i="17"/>
  <c r="L331" i="17"/>
  <c r="M331" i="17" s="1"/>
  <c r="J332" i="17"/>
  <c r="O332" i="17" s="1"/>
  <c r="K332" i="17"/>
  <c r="L332" i="17"/>
  <c r="M332" i="17" s="1"/>
  <c r="J333" i="17"/>
  <c r="O333" i="17" s="1"/>
  <c r="K333" i="17"/>
  <c r="L333" i="17"/>
  <c r="M333" i="17" s="1"/>
  <c r="J334" i="17"/>
  <c r="O334" i="17" s="1"/>
  <c r="K334" i="17"/>
  <c r="L334" i="17"/>
  <c r="J335" i="17"/>
  <c r="O335" i="17" s="1"/>
  <c r="K335" i="17"/>
  <c r="L335" i="17"/>
  <c r="J336" i="17"/>
  <c r="O336" i="17" s="1"/>
  <c r="K336" i="17"/>
  <c r="L336" i="17"/>
  <c r="M336" i="17" s="1"/>
  <c r="J337" i="17"/>
  <c r="K337" i="17"/>
  <c r="L337" i="17"/>
  <c r="J338" i="17"/>
  <c r="O338" i="17" s="1"/>
  <c r="K338" i="17"/>
  <c r="L338" i="17"/>
  <c r="J339" i="17"/>
  <c r="O339" i="17" s="1"/>
  <c r="K339" i="17"/>
  <c r="L339" i="17"/>
  <c r="M339" i="17" s="1"/>
  <c r="J340" i="17"/>
  <c r="O340" i="17" s="1"/>
  <c r="K340" i="17"/>
  <c r="L340" i="17"/>
  <c r="M340" i="17" s="1"/>
  <c r="J341" i="17"/>
  <c r="O341" i="17" s="1"/>
  <c r="K341" i="17"/>
  <c r="L341" i="17"/>
  <c r="M341" i="17" s="1"/>
  <c r="J342" i="17"/>
  <c r="O342" i="17" s="1"/>
  <c r="K342" i="17"/>
  <c r="L342" i="17"/>
  <c r="J343" i="17"/>
  <c r="K343" i="17"/>
  <c r="L343" i="17"/>
  <c r="M343" i="17" s="1"/>
  <c r="J344" i="17"/>
  <c r="O344" i="17" s="1"/>
  <c r="K344" i="17"/>
  <c r="L344" i="17"/>
  <c r="M344" i="17" s="1"/>
  <c r="J345" i="17"/>
  <c r="O345" i="17" s="1"/>
  <c r="K345" i="17"/>
  <c r="L345" i="17"/>
  <c r="M345" i="17" s="1"/>
  <c r="J346" i="17"/>
  <c r="O346" i="17" s="1"/>
  <c r="K346" i="17"/>
  <c r="L346" i="17"/>
  <c r="J347" i="17"/>
  <c r="O347" i="17" s="1"/>
  <c r="K347" i="17"/>
  <c r="L347" i="17"/>
  <c r="M347" i="17" s="1"/>
  <c r="J348" i="17"/>
  <c r="O348" i="17" s="1"/>
  <c r="K348" i="17"/>
  <c r="L348" i="17"/>
  <c r="M348" i="17" s="1"/>
  <c r="J349" i="17"/>
  <c r="O349" i="17" s="1"/>
  <c r="K349" i="17"/>
  <c r="L349" i="17"/>
  <c r="M349" i="17" s="1"/>
  <c r="J350" i="17"/>
  <c r="O350" i="17" s="1"/>
  <c r="K350" i="17"/>
  <c r="L350" i="17"/>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K367" i="17"/>
  <c r="L367" i="17"/>
  <c r="M367" i="17" s="1"/>
  <c r="J368" i="17"/>
  <c r="O368" i="17" s="1"/>
  <c r="K368" i="17"/>
  <c r="L368" i="17"/>
  <c r="M368" i="17" s="1"/>
  <c r="J369" i="17"/>
  <c r="K369" i="17"/>
  <c r="L369" i="17"/>
  <c r="M369" i="17" s="1"/>
  <c r="J370" i="17"/>
  <c r="O370" i="17" s="1"/>
  <c r="K370" i="17"/>
  <c r="L370" i="17"/>
  <c r="M370" i="17" s="1"/>
  <c r="J371" i="17"/>
  <c r="O371" i="17" s="1"/>
  <c r="K371" i="17"/>
  <c r="L371" i="17"/>
  <c r="J372" i="17"/>
  <c r="O372" i="17" s="1"/>
  <c r="K372" i="17"/>
  <c r="L372" i="17"/>
  <c r="M372" i="17" s="1"/>
  <c r="J373" i="17"/>
  <c r="K373" i="17"/>
  <c r="L373" i="17"/>
  <c r="M373" i="17" s="1"/>
  <c r="J374" i="17"/>
  <c r="O374" i="17" s="1"/>
  <c r="K374" i="17"/>
  <c r="L374" i="17"/>
  <c r="J375" i="17"/>
  <c r="O375" i="17" s="1"/>
  <c r="K375" i="17"/>
  <c r="L375" i="17"/>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J387" i="17"/>
  <c r="O387" i="17" s="1"/>
  <c r="K387" i="17"/>
  <c r="L387" i="17"/>
  <c r="M387" i="17" s="1"/>
  <c r="J388" i="17"/>
  <c r="O388" i="17" s="1"/>
  <c r="K388" i="17"/>
  <c r="L388" i="17"/>
  <c r="M388" i="17" s="1"/>
  <c r="J389" i="17"/>
  <c r="K389" i="17"/>
  <c r="L389" i="17"/>
  <c r="M389" i="17" s="1"/>
  <c r="J390" i="17"/>
  <c r="O390" i="17" s="1"/>
  <c r="K390" i="17"/>
  <c r="L390" i="17"/>
  <c r="J391" i="17"/>
  <c r="O391" i="17" s="1"/>
  <c r="K391" i="17"/>
  <c r="L391" i="17"/>
  <c r="J392" i="17"/>
  <c r="O392" i="17" s="1"/>
  <c r="K392" i="17"/>
  <c r="L392" i="17"/>
  <c r="M392" i="17" s="1"/>
  <c r="J393" i="17"/>
  <c r="O393" i="17" s="1"/>
  <c r="K393" i="17"/>
  <c r="L393" i="17"/>
  <c r="M393" i="17" s="1"/>
  <c r="J394" i="17"/>
  <c r="O394" i="17" s="1"/>
  <c r="K394" i="17"/>
  <c r="L394" i="17"/>
  <c r="J395" i="17"/>
  <c r="O395" i="17" s="1"/>
  <c r="K395" i="17"/>
  <c r="L395" i="17"/>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K403" i="17"/>
  <c r="L403" i="17"/>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J409" i="17"/>
  <c r="O409" i="17" s="1"/>
  <c r="K409" i="17"/>
  <c r="L409" i="17"/>
  <c r="M409" i="17" s="1"/>
  <c r="J410" i="17"/>
  <c r="O410" i="17" s="1"/>
  <c r="K410" i="17"/>
  <c r="L410" i="17"/>
  <c r="M410" i="17" s="1"/>
  <c r="J411" i="17"/>
  <c r="O411" i="17" s="1"/>
  <c r="K411" i="17"/>
  <c r="L411" i="17"/>
  <c r="J412" i="17"/>
  <c r="O412" i="17" s="1"/>
  <c r="K412" i="17"/>
  <c r="L412" i="17"/>
  <c r="M412" i="17" s="1"/>
  <c r="J413" i="17"/>
  <c r="O413" i="17" s="1"/>
  <c r="K413" i="17"/>
  <c r="L413" i="17"/>
  <c r="M413" i="17" s="1"/>
  <c r="J414" i="17"/>
  <c r="O414" i="17" s="1"/>
  <c r="K414" i="17"/>
  <c r="L414" i="17"/>
  <c r="J415" i="17"/>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K421" i="17"/>
  <c r="L421" i="17"/>
  <c r="M421" i="17" s="1"/>
  <c r="J422" i="17"/>
  <c r="O422" i="17" s="1"/>
  <c r="K422" i="17"/>
  <c r="L422" i="17"/>
  <c r="J423" i="17"/>
  <c r="O423" i="17" s="1"/>
  <c r="K423" i="17"/>
  <c r="L423" i="17"/>
  <c r="J424" i="17"/>
  <c r="O424" i="17" s="1"/>
  <c r="K424" i="17"/>
  <c r="L424" i="17"/>
  <c r="M424" i="17" s="1"/>
  <c r="J425" i="17"/>
  <c r="O425" i="17" s="1"/>
  <c r="K425" i="17"/>
  <c r="L425" i="17"/>
  <c r="M425" i="17" s="1"/>
  <c r="J426" i="17"/>
  <c r="O426" i="17" s="1"/>
  <c r="K426" i="17"/>
  <c r="L426" i="17"/>
  <c r="J427" i="17"/>
  <c r="O427" i="17" s="1"/>
  <c r="K427" i="17"/>
  <c r="L427" i="17"/>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J447" i="17"/>
  <c r="K447" i="17"/>
  <c r="L447" i="17"/>
  <c r="M447" i="17" s="1"/>
  <c r="J448" i="17"/>
  <c r="O448" i="17" s="1"/>
  <c r="K448" i="17"/>
  <c r="L448" i="17"/>
  <c r="M448" i="17" s="1"/>
  <c r="J449" i="17"/>
  <c r="O449" i="17" s="1"/>
  <c r="K449" i="17"/>
  <c r="L449" i="17"/>
  <c r="M449" i="17" s="1"/>
  <c r="J450" i="17"/>
  <c r="O450" i="17" s="1"/>
  <c r="K450" i="17"/>
  <c r="L450" i="17"/>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J480" i="17"/>
  <c r="O480" i="17" s="1"/>
  <c r="K480" i="17"/>
  <c r="L480" i="17"/>
  <c r="M480" i="17" s="1"/>
  <c r="J481" i="17"/>
  <c r="O481" i="17" s="1"/>
  <c r="K481" i="17"/>
  <c r="L481" i="17"/>
  <c r="M481" i="17" s="1"/>
  <c r="J482" i="17"/>
  <c r="O482" i="17" s="1"/>
  <c r="K482" i="17"/>
  <c r="L482" i="17"/>
  <c r="J483" i="17"/>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J488" i="17"/>
  <c r="O488" i="17" s="1"/>
  <c r="K488" i="17"/>
  <c r="L488" i="17"/>
  <c r="M488" i="17" s="1"/>
  <c r="J489" i="17"/>
  <c r="O489" i="17" s="1"/>
  <c r="K489" i="17"/>
  <c r="L489" i="17"/>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J500" i="17"/>
  <c r="O500" i="17" s="1"/>
  <c r="K500" i="17"/>
  <c r="L500" i="17"/>
  <c r="M500" i="17" s="1"/>
  <c r="J501" i="17"/>
  <c r="O501" i="17" s="1"/>
  <c r="K501" i="17"/>
  <c r="L501" i="17"/>
  <c r="M501" i="17" s="1"/>
  <c r="J502" i="17"/>
  <c r="O502" i="17" s="1"/>
  <c r="K502" i="17"/>
  <c r="L502" i="17"/>
  <c r="M502" i="17" s="1"/>
  <c r="J503" i="17"/>
  <c r="O503" i="17" s="1"/>
  <c r="K503" i="17"/>
  <c r="L503" i="17"/>
  <c r="J504" i="17"/>
  <c r="O504" i="17" s="1"/>
  <c r="K504" i="17"/>
  <c r="L504" i="17"/>
  <c r="M504" i="17" s="1"/>
  <c r="J505" i="17"/>
  <c r="O505" i="17" s="1"/>
  <c r="K505" i="17"/>
  <c r="L505" i="17"/>
  <c r="M505" i="17" s="1"/>
  <c r="J506" i="17"/>
  <c r="O506" i="17" s="1"/>
  <c r="K506" i="17"/>
  <c r="L506" i="17"/>
  <c r="J507" i="17"/>
  <c r="O507" i="17" s="1"/>
  <c r="K507" i="17"/>
  <c r="L507" i="17"/>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J516" i="17"/>
  <c r="O516" i="17" s="1"/>
  <c r="K516" i="17"/>
  <c r="L516" i="17"/>
  <c r="M516" i="17" s="1"/>
  <c r="J517" i="17"/>
  <c r="K517" i="17"/>
  <c r="L517" i="17"/>
  <c r="M517" i="17" s="1"/>
  <c r="J518" i="17"/>
  <c r="O518" i="17" s="1"/>
  <c r="K518" i="17"/>
  <c r="L518" i="17"/>
  <c r="M518" i="17" s="1"/>
  <c r="J519" i="17"/>
  <c r="O519" i="17" s="1"/>
  <c r="K519" i="17"/>
  <c r="L519" i="17"/>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K533" i="17"/>
  <c r="L533" i="17"/>
  <c r="M533" i="17" s="1"/>
  <c r="J534" i="17"/>
  <c r="O534" i="17" s="1"/>
  <c r="K534" i="17"/>
  <c r="L534" i="17"/>
  <c r="M534" i="17" s="1"/>
  <c r="J535" i="17"/>
  <c r="K535" i="17"/>
  <c r="L535" i="17"/>
  <c r="M535" i="17" s="1"/>
  <c r="J536" i="17"/>
  <c r="O536" i="17" s="1"/>
  <c r="K536" i="17"/>
  <c r="L536" i="17"/>
  <c r="M536" i="17" s="1"/>
  <c r="J537" i="17"/>
  <c r="O537" i="17" s="1"/>
  <c r="K537" i="17"/>
  <c r="L537" i="17"/>
  <c r="M537" i="17" s="1"/>
  <c r="J538" i="17"/>
  <c r="O538" i="17" s="1"/>
  <c r="K538" i="17"/>
  <c r="L538" i="17"/>
  <c r="J539" i="17"/>
  <c r="O539" i="17" s="1"/>
  <c r="K539" i="17"/>
  <c r="L539" i="17"/>
  <c r="J540" i="17"/>
  <c r="O540" i="17" s="1"/>
  <c r="K540" i="17"/>
  <c r="L540" i="17"/>
  <c r="M540" i="17" s="1"/>
  <c r="J541" i="17"/>
  <c r="O541" i="17" s="1"/>
  <c r="K541" i="17"/>
  <c r="L541" i="17"/>
  <c r="M541" i="17" s="1"/>
  <c r="J542" i="17"/>
  <c r="O542" i="17" s="1"/>
  <c r="K542" i="17"/>
  <c r="L542" i="17"/>
  <c r="J543" i="17"/>
  <c r="O543" i="17" s="1"/>
  <c r="K543" i="17"/>
  <c r="L543" i="17"/>
  <c r="J544" i="17"/>
  <c r="O544" i="17" s="1"/>
  <c r="K544" i="17"/>
  <c r="L544" i="17"/>
  <c r="M544" i="17" s="1"/>
  <c r="J545" i="17"/>
  <c r="O545" i="17" s="1"/>
  <c r="K545" i="17"/>
  <c r="L545" i="17"/>
  <c r="M545" i="17" s="1"/>
  <c r="J546" i="17"/>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J559" i="17"/>
  <c r="O559" i="17" s="1"/>
  <c r="K559" i="17"/>
  <c r="L559" i="17"/>
  <c r="M559" i="17" s="1"/>
  <c r="J560" i="17"/>
  <c r="O560" i="17" s="1"/>
  <c r="K560" i="17"/>
  <c r="L560" i="17"/>
  <c r="M560" i="17" s="1"/>
  <c r="J561" i="17"/>
  <c r="O561" i="17" s="1"/>
  <c r="K561" i="17"/>
  <c r="L561" i="17"/>
  <c r="M561" i="17" s="1"/>
  <c r="J562" i="17"/>
  <c r="O562" i="17" s="1"/>
  <c r="K562" i="17"/>
  <c r="L562" i="17"/>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J568" i="17"/>
  <c r="O568" i="17" s="1"/>
  <c r="K568" i="17"/>
  <c r="L568" i="17"/>
  <c r="M568" i="17" s="1"/>
  <c r="J569" i="17"/>
  <c r="O569" i="17" s="1"/>
  <c r="K569" i="17"/>
  <c r="L569" i="17"/>
  <c r="M569" i="17" s="1"/>
  <c r="J570" i="17"/>
  <c r="O570" i="17" s="1"/>
  <c r="K570" i="17"/>
  <c r="L570" i="17"/>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J576" i="17"/>
  <c r="O576" i="17" s="1"/>
  <c r="K576" i="17"/>
  <c r="L576" i="17"/>
  <c r="M576" i="17" s="1"/>
  <c r="J577" i="17"/>
  <c r="O577" i="17" s="1"/>
  <c r="K577" i="17"/>
  <c r="L577" i="17"/>
  <c r="M577" i="17" s="1"/>
  <c r="J578" i="17"/>
  <c r="O578" i="17" s="1"/>
  <c r="K578" i="17"/>
  <c r="L578" i="17"/>
  <c r="J579" i="17"/>
  <c r="K579" i="17"/>
  <c r="L579" i="17"/>
  <c r="M579" i="17" s="1"/>
  <c r="J580" i="17"/>
  <c r="O580" i="17" s="1"/>
  <c r="K580" i="17"/>
  <c r="L580" i="17"/>
  <c r="M580" i="17" s="1"/>
  <c r="J581" i="17"/>
  <c r="O581" i="17" s="1"/>
  <c r="K581" i="17"/>
  <c r="L581" i="17"/>
  <c r="M581" i="17" s="1"/>
  <c r="J582" i="17"/>
  <c r="O582" i="17" s="1"/>
  <c r="K582" i="17"/>
  <c r="L582" i="17"/>
  <c r="M582" i="17" s="1"/>
  <c r="J583" i="17"/>
  <c r="K583" i="17"/>
  <c r="L583" i="17"/>
  <c r="M583" i="17" s="1"/>
  <c r="J584" i="17"/>
  <c r="O584" i="17" s="1"/>
  <c r="K584" i="17"/>
  <c r="L584" i="17"/>
  <c r="M584" i="17" s="1"/>
  <c r="J585" i="17"/>
  <c r="O585" i="17" s="1"/>
  <c r="K585" i="17"/>
  <c r="L585" i="17"/>
  <c r="M585" i="17" s="1"/>
  <c r="J586" i="17"/>
  <c r="O586" i="17" s="1"/>
  <c r="K586" i="17"/>
  <c r="L586" i="17"/>
  <c r="J587" i="17"/>
  <c r="O587" i="17" s="1"/>
  <c r="K587" i="17"/>
  <c r="L587" i="17"/>
  <c r="J588" i="17"/>
  <c r="O588" i="17" s="1"/>
  <c r="K588" i="17"/>
  <c r="L588" i="17"/>
  <c r="M588" i="17" s="1"/>
  <c r="J589" i="17"/>
  <c r="O589" i="17" s="1"/>
  <c r="K589" i="17"/>
  <c r="L589" i="17"/>
  <c r="M589" i="17" s="1"/>
  <c r="J590" i="17"/>
  <c r="O590" i="17" s="1"/>
  <c r="K590" i="17"/>
  <c r="L590" i="17"/>
  <c r="J591" i="17"/>
  <c r="O591" i="17" s="1"/>
  <c r="K591" i="17"/>
  <c r="L591" i="17"/>
  <c r="J592" i="17"/>
  <c r="O592" i="17" s="1"/>
  <c r="K592" i="17"/>
  <c r="L592" i="17"/>
  <c r="M592" i="17" s="1"/>
  <c r="J593" i="17"/>
  <c r="O593" i="17" s="1"/>
  <c r="K593" i="17"/>
  <c r="L593" i="17"/>
  <c r="M593" i="17" s="1"/>
  <c r="J594" i="17"/>
  <c r="O594" i="17" s="1"/>
  <c r="K594" i="17"/>
  <c r="L594" i="17"/>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K603" i="17"/>
  <c r="L603" i="17"/>
  <c r="J604" i="17"/>
  <c r="O604" i="17" s="1"/>
  <c r="K604" i="17"/>
  <c r="L604" i="17"/>
  <c r="M604" i="17" s="1"/>
  <c r="J605" i="17"/>
  <c r="O605" i="17" s="1"/>
  <c r="K605" i="17"/>
  <c r="L605" i="17"/>
  <c r="M605" i="17" s="1"/>
  <c r="J606" i="17"/>
  <c r="O606" i="17" s="1"/>
  <c r="K606" i="17"/>
  <c r="L606" i="17"/>
  <c r="J607" i="17"/>
  <c r="O607" i="17" s="1"/>
  <c r="K607" i="17"/>
  <c r="L607" i="17"/>
  <c r="M607" i="17" s="1"/>
  <c r="J608" i="17"/>
  <c r="O608" i="17" s="1"/>
  <c r="K608" i="17"/>
  <c r="L608" i="17"/>
  <c r="M608" i="17" s="1"/>
  <c r="J609" i="17"/>
  <c r="O609" i="17" s="1"/>
  <c r="K609" i="17"/>
  <c r="L609" i="17"/>
  <c r="M609" i="17" s="1"/>
  <c r="J610" i="17"/>
  <c r="O610" i="17" s="1"/>
  <c r="K610" i="17"/>
  <c r="L610" i="17"/>
  <c r="J611" i="17"/>
  <c r="O611" i="17" s="1"/>
  <c r="K611" i="17"/>
  <c r="L611" i="17"/>
  <c r="J612" i="17"/>
  <c r="O612" i="17" s="1"/>
  <c r="K612" i="17"/>
  <c r="L612" i="17"/>
  <c r="M612" i="17" s="1"/>
  <c r="J613" i="17"/>
  <c r="O613" i="17" s="1"/>
  <c r="K613" i="17"/>
  <c r="L613" i="17"/>
  <c r="J614" i="17"/>
  <c r="O614" i="17" s="1"/>
  <c r="K614" i="17"/>
  <c r="L614" i="17"/>
  <c r="M614" i="17" s="1"/>
  <c r="J615" i="17"/>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K627" i="17"/>
  <c r="L627" i="17"/>
  <c r="J628" i="17"/>
  <c r="O628" i="17" s="1"/>
  <c r="K628" i="17"/>
  <c r="L628" i="17"/>
  <c r="M628" i="17" s="1"/>
  <c r="J629" i="17"/>
  <c r="O629" i="17" s="1"/>
  <c r="K629" i="17"/>
  <c r="L629" i="17"/>
  <c r="M629" i="17" s="1"/>
  <c r="J630" i="17"/>
  <c r="O630" i="17" s="1"/>
  <c r="K630" i="17"/>
  <c r="L630" i="17"/>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J639" i="17"/>
  <c r="O639" i="17" s="1"/>
  <c r="K639" i="17"/>
  <c r="L639" i="17"/>
  <c r="M639" i="17" s="1"/>
  <c r="J640" i="17"/>
  <c r="O640" i="17" s="1"/>
  <c r="K640" i="17"/>
  <c r="L640" i="17"/>
  <c r="M640" i="17" s="1"/>
  <c r="J641" i="17"/>
  <c r="O641" i="17" s="1"/>
  <c r="K641" i="17"/>
  <c r="L641" i="17"/>
  <c r="M641" i="17" s="1"/>
  <c r="J642" i="17"/>
  <c r="O642" i="17" s="1"/>
  <c r="K642" i="17"/>
  <c r="L642" i="17"/>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J659" i="17"/>
  <c r="O659" i="17" s="1"/>
  <c r="K659" i="17"/>
  <c r="L659" i="17"/>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K667" i="17"/>
  <c r="L667" i="17"/>
  <c r="M667" i="17" s="1"/>
  <c r="J668" i="17"/>
  <c r="O668" i="17" s="1"/>
  <c r="K668" i="17"/>
  <c r="L668" i="17"/>
  <c r="M668" i="17" s="1"/>
  <c r="J669" i="17"/>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J675" i="17"/>
  <c r="O675" i="17" s="1"/>
  <c r="K675" i="17"/>
  <c r="L675" i="17"/>
  <c r="J676" i="17"/>
  <c r="O676" i="17" s="1"/>
  <c r="K676" i="17"/>
  <c r="L676" i="17"/>
  <c r="M676" i="17" s="1"/>
  <c r="J677" i="17"/>
  <c r="O677" i="17" s="1"/>
  <c r="K677" i="17"/>
  <c r="L677" i="17"/>
  <c r="M677" i="17" s="1"/>
  <c r="J678" i="17"/>
  <c r="O678" i="17" s="1"/>
  <c r="K678" i="17"/>
  <c r="L678" i="17"/>
  <c r="J679" i="17"/>
  <c r="O679" i="17" s="1"/>
  <c r="K679" i="17"/>
  <c r="L679" i="17"/>
  <c r="M679" i="17" s="1"/>
  <c r="J680" i="17"/>
  <c r="O680" i="17" s="1"/>
  <c r="K680" i="17"/>
  <c r="L680" i="17"/>
  <c r="M680" i="17" s="1"/>
  <c r="J681" i="17"/>
  <c r="O681" i="17" s="1"/>
  <c r="K681" i="17"/>
  <c r="L681" i="17"/>
  <c r="M681" i="17" s="1"/>
  <c r="J682" i="17"/>
  <c r="O682" i="17" s="1"/>
  <c r="K682" i="17"/>
  <c r="L682" i="17"/>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J695" i="17"/>
  <c r="O695" i="17" s="1"/>
  <c r="K695" i="17"/>
  <c r="L695" i="17"/>
  <c r="J696" i="17"/>
  <c r="O696" i="17" s="1"/>
  <c r="K696" i="17"/>
  <c r="L696" i="17"/>
  <c r="M696" i="17" s="1"/>
  <c r="J697" i="17"/>
  <c r="O697" i="17" s="1"/>
  <c r="K697" i="17"/>
  <c r="L697" i="17"/>
  <c r="M697" i="17" s="1"/>
  <c r="J698" i="17"/>
  <c r="O698" i="17" s="1"/>
  <c r="K698" i="17"/>
  <c r="L698" i="17"/>
  <c r="M698" i="17" s="1"/>
  <c r="J699" i="17"/>
  <c r="O699" i="17" s="1"/>
  <c r="K699" i="17"/>
  <c r="L699" i="17"/>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J707" i="17"/>
  <c r="K707" i="17"/>
  <c r="L707" i="17"/>
  <c r="J708" i="17"/>
  <c r="O708" i="17" s="1"/>
  <c r="K708" i="17"/>
  <c r="L708" i="17"/>
  <c r="M708" i="17" s="1"/>
  <c r="J709" i="17"/>
  <c r="O709" i="17" s="1"/>
  <c r="K709" i="17"/>
  <c r="L709" i="17"/>
  <c r="M709" i="17" s="1"/>
  <c r="J710" i="17"/>
  <c r="O710" i="17" s="1"/>
  <c r="K710" i="17"/>
  <c r="L710" i="17"/>
  <c r="M710" i="17" s="1"/>
  <c r="J711" i="17"/>
  <c r="O711" i="17" s="1"/>
  <c r="K711" i="17"/>
  <c r="L711" i="17"/>
  <c r="J712" i="17"/>
  <c r="O712" i="17" s="1"/>
  <c r="K712" i="17"/>
  <c r="L712" i="17"/>
  <c r="M712" i="17" s="1"/>
  <c r="J713" i="17"/>
  <c r="O713" i="17" s="1"/>
  <c r="K713" i="17"/>
  <c r="L713" i="17"/>
  <c r="M713" i="17" s="1"/>
  <c r="J714" i="17"/>
  <c r="O714" i="17" s="1"/>
  <c r="K714" i="17"/>
  <c r="L714" i="17"/>
  <c r="J715" i="17"/>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J731" i="17"/>
  <c r="O731" i="17" s="1"/>
  <c r="K731" i="17"/>
  <c r="L731" i="17"/>
  <c r="M731" i="17" s="1"/>
  <c r="J732" i="17"/>
  <c r="O732" i="17" s="1"/>
  <c r="K732" i="17"/>
  <c r="L732" i="17"/>
  <c r="M732" i="17" s="1"/>
  <c r="J733" i="17"/>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J744" i="17"/>
  <c r="O744" i="17" s="1"/>
  <c r="K744" i="17"/>
  <c r="L744" i="17"/>
  <c r="M744" i="17" s="1"/>
  <c r="J745" i="17"/>
  <c r="O745" i="17" s="1"/>
  <c r="K745" i="17"/>
  <c r="L745" i="17"/>
  <c r="M745" i="17" s="1"/>
  <c r="J746" i="17"/>
  <c r="O746" i="17" s="1"/>
  <c r="K746" i="17"/>
  <c r="L746" i="17"/>
  <c r="J747" i="17"/>
  <c r="O747" i="17" s="1"/>
  <c r="K747" i="17"/>
  <c r="L747" i="17"/>
  <c r="J748" i="17"/>
  <c r="O748" i="17" s="1"/>
  <c r="K748" i="17"/>
  <c r="L748" i="17"/>
  <c r="M748" i="17" s="1"/>
  <c r="J749" i="17"/>
  <c r="O749" i="17" s="1"/>
  <c r="K749" i="17"/>
  <c r="L749" i="17"/>
  <c r="J750" i="17"/>
  <c r="O750" i="17" s="1"/>
  <c r="K750" i="17"/>
  <c r="L750" i="17"/>
  <c r="M750" i="17" s="1"/>
  <c r="J751" i="17"/>
  <c r="O751" i="17" s="1"/>
  <c r="K751" i="17"/>
  <c r="L751" i="17"/>
  <c r="M751" i="17" s="1"/>
  <c r="J752" i="17"/>
  <c r="O752" i="17" s="1"/>
  <c r="K752" i="17"/>
  <c r="L752" i="17"/>
  <c r="M752" i="17" s="1"/>
  <c r="J753" i="17"/>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J760" i="17"/>
  <c r="O760" i="17" s="1"/>
  <c r="K760" i="17"/>
  <c r="L760" i="17"/>
  <c r="M760" i="17" s="1"/>
  <c r="J761" i="17"/>
  <c r="O761" i="17" s="1"/>
  <c r="K761" i="17"/>
  <c r="L761" i="17"/>
  <c r="M761" i="17" s="1"/>
  <c r="J762" i="17"/>
  <c r="O762" i="17" s="1"/>
  <c r="K762" i="17"/>
  <c r="L762" i="17"/>
  <c r="J763" i="17"/>
  <c r="O763" i="17" s="1"/>
  <c r="K763" i="17"/>
  <c r="L763" i="17"/>
  <c r="J764" i="17"/>
  <c r="O764" i="17" s="1"/>
  <c r="K764" i="17"/>
  <c r="L764" i="17"/>
  <c r="M764" i="17" s="1"/>
  <c r="J765" i="17"/>
  <c r="O765" i="17" s="1"/>
  <c r="K765" i="17"/>
  <c r="L765" i="17"/>
  <c r="M765" i="17" s="1"/>
  <c r="J766" i="17"/>
  <c r="O766" i="17" s="1"/>
  <c r="K766" i="17"/>
  <c r="L766" i="17"/>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J775" i="17"/>
  <c r="O775" i="17" s="1"/>
  <c r="K775" i="17"/>
  <c r="L775" i="17"/>
  <c r="M775" i="17" s="1"/>
  <c r="J776" i="17"/>
  <c r="O776" i="17" s="1"/>
  <c r="K776" i="17"/>
  <c r="L776" i="17"/>
  <c r="M776" i="17" s="1"/>
  <c r="J777" i="17"/>
  <c r="O777" i="17" s="1"/>
  <c r="K777" i="17"/>
  <c r="L777" i="17"/>
  <c r="M777" i="17" s="1"/>
  <c r="J778" i="17"/>
  <c r="O778" i="17" s="1"/>
  <c r="K778" i="17"/>
  <c r="L778" i="17"/>
  <c r="J779" i="17"/>
  <c r="K779" i="17"/>
  <c r="L779" i="17"/>
  <c r="M779" i="17" s="1"/>
  <c r="J780" i="17"/>
  <c r="O780" i="17" s="1"/>
  <c r="K780" i="17"/>
  <c r="L780" i="17"/>
  <c r="M780" i="17" s="1"/>
  <c r="J781" i="17"/>
  <c r="O781" i="17" s="1"/>
  <c r="K781" i="17"/>
  <c r="L781" i="17"/>
  <c r="M781" i="17" s="1"/>
  <c r="J782" i="17"/>
  <c r="O782" i="17" s="1"/>
  <c r="K782" i="17"/>
  <c r="L782" i="17"/>
  <c r="M782" i="17" s="1"/>
  <c r="J783" i="17"/>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J788" i="17"/>
  <c r="O788" i="17" s="1"/>
  <c r="K788" i="17"/>
  <c r="L788" i="17"/>
  <c r="M788" i="17" s="1"/>
  <c r="J789" i="17"/>
  <c r="O789" i="17" s="1"/>
  <c r="K789" i="17"/>
  <c r="L789" i="17"/>
  <c r="M789" i="17" s="1"/>
  <c r="J790" i="17"/>
  <c r="O790" i="17" s="1"/>
  <c r="K790" i="17"/>
  <c r="L790" i="17"/>
  <c r="J791" i="17"/>
  <c r="O791" i="17" s="1"/>
  <c r="K791" i="17"/>
  <c r="L791" i="17"/>
  <c r="J792" i="17"/>
  <c r="O792" i="17" s="1"/>
  <c r="K792" i="17"/>
  <c r="L792" i="17"/>
  <c r="M792" i="17" s="1"/>
  <c r="J793" i="17"/>
  <c r="O793" i="17" s="1"/>
  <c r="K793" i="17"/>
  <c r="L793" i="17"/>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K799" i="17"/>
  <c r="L799" i="17"/>
  <c r="M799" i="17" s="1"/>
  <c r="J800" i="17"/>
  <c r="O800" i="17" s="1"/>
  <c r="K800" i="17"/>
  <c r="L800" i="17"/>
  <c r="M800" i="17" s="1"/>
  <c r="J801" i="17"/>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J807" i="17"/>
  <c r="O807" i="17" s="1"/>
  <c r="K807" i="17"/>
  <c r="L807" i="17"/>
  <c r="J808" i="17"/>
  <c r="O808" i="17" s="1"/>
  <c r="K808" i="17"/>
  <c r="L808" i="17"/>
  <c r="M808" i="17" s="1"/>
  <c r="J809" i="17"/>
  <c r="O809" i="17" s="1"/>
  <c r="K809" i="17"/>
  <c r="L809" i="17"/>
  <c r="M809" i="17" s="1"/>
  <c r="J810" i="17"/>
  <c r="O810" i="17" s="1"/>
  <c r="K810" i="17"/>
  <c r="L810" i="17"/>
  <c r="J811" i="17"/>
  <c r="O811" i="17" s="1"/>
  <c r="K811" i="17"/>
  <c r="L811" i="17"/>
  <c r="J812" i="17"/>
  <c r="O812" i="17" s="1"/>
  <c r="K812" i="17"/>
  <c r="L812" i="17"/>
  <c r="M812" i="17" s="1"/>
  <c r="J813" i="17"/>
  <c r="O813" i="17" s="1"/>
  <c r="K813" i="17"/>
  <c r="L813" i="17"/>
  <c r="M813" i="17" s="1"/>
  <c r="J814" i="17"/>
  <c r="O814" i="17" s="1"/>
  <c r="K814" i="17"/>
  <c r="L814" i="17"/>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J824" i="17"/>
  <c r="O824" i="17" s="1"/>
  <c r="K824" i="17"/>
  <c r="L824" i="17"/>
  <c r="M824" i="17" s="1"/>
  <c r="J825" i="17"/>
  <c r="O825" i="17" s="1"/>
  <c r="K825" i="17"/>
  <c r="L825" i="17"/>
  <c r="M825" i="17" s="1"/>
  <c r="J826" i="17"/>
  <c r="O826" i="17" s="1"/>
  <c r="K826" i="17"/>
  <c r="L826" i="17"/>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K835" i="17"/>
  <c r="L835" i="17"/>
  <c r="J836" i="17"/>
  <c r="O836" i="17" s="1"/>
  <c r="K836" i="17"/>
  <c r="L836" i="17"/>
  <c r="M836" i="17" s="1"/>
  <c r="J837" i="17"/>
  <c r="O837" i="17" s="1"/>
  <c r="K837" i="17"/>
  <c r="L837" i="17"/>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J844" i="17"/>
  <c r="O844" i="17" s="1"/>
  <c r="K844" i="17"/>
  <c r="L844" i="17"/>
  <c r="M844" i="17" s="1"/>
  <c r="J845" i="17"/>
  <c r="K845" i="17"/>
  <c r="L845" i="17"/>
  <c r="M845" i="17" s="1"/>
  <c r="J846" i="17"/>
  <c r="O846" i="17" s="1"/>
  <c r="K846" i="17"/>
  <c r="L846" i="17"/>
  <c r="M846" i="17" s="1"/>
  <c r="J847" i="17"/>
  <c r="K847" i="17"/>
  <c r="L847" i="17"/>
  <c r="M847" i="17" s="1"/>
  <c r="J848" i="17"/>
  <c r="O848" i="17" s="1"/>
  <c r="K848" i="17"/>
  <c r="L848" i="17"/>
  <c r="M848" i="17" s="1"/>
  <c r="J849" i="17"/>
  <c r="O849" i="17" s="1"/>
  <c r="K849" i="17"/>
  <c r="L849" i="17"/>
  <c r="M849" i="17" s="1"/>
  <c r="J850" i="17"/>
  <c r="O850" i="17" s="1"/>
  <c r="K850" i="17"/>
  <c r="L850" i="17"/>
  <c r="J851" i="17"/>
  <c r="O851" i="17" s="1"/>
  <c r="K851" i="17"/>
  <c r="L851" i="17"/>
  <c r="J852" i="17"/>
  <c r="O852" i="17" s="1"/>
  <c r="K852" i="17"/>
  <c r="L852" i="17"/>
  <c r="M852" i="17" s="1"/>
  <c r="J853" i="17"/>
  <c r="O853" i="17" s="1"/>
  <c r="K853" i="17"/>
  <c r="L853" i="17"/>
  <c r="M853" i="17" s="1"/>
  <c r="J854" i="17"/>
  <c r="O854" i="17" s="1"/>
  <c r="K854" i="17"/>
  <c r="L854" i="17"/>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J868" i="17"/>
  <c r="O868" i="17" s="1"/>
  <c r="K868" i="17"/>
  <c r="L868" i="17"/>
  <c r="M868" i="17" s="1"/>
  <c r="J869" i="17"/>
  <c r="O869" i="17" s="1"/>
  <c r="K869" i="17"/>
  <c r="L869" i="17"/>
  <c r="M869" i="17" s="1"/>
  <c r="J870" i="17"/>
  <c r="O870" i="17" s="1"/>
  <c r="K870" i="17"/>
  <c r="L870" i="17"/>
  <c r="M870" i="17" s="1"/>
  <c r="J871" i="17"/>
  <c r="O871" i="17" s="1"/>
  <c r="K871" i="17"/>
  <c r="L871" i="17"/>
  <c r="J872" i="17"/>
  <c r="O872" i="17" s="1"/>
  <c r="K872" i="17"/>
  <c r="L872" i="17"/>
  <c r="M872" i="17" s="1"/>
  <c r="J873" i="17"/>
  <c r="K873" i="17"/>
  <c r="L873" i="17"/>
  <c r="M873" i="17" s="1"/>
  <c r="J874" i="17"/>
  <c r="O874" i="17" s="1"/>
  <c r="K874" i="17"/>
  <c r="L874" i="17"/>
  <c r="M874" i="17" s="1"/>
  <c r="J875" i="17"/>
  <c r="O875" i="17" s="1"/>
  <c r="K875" i="17"/>
  <c r="L875" i="17"/>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K891" i="17"/>
  <c r="L891" i="17"/>
  <c r="J892" i="17"/>
  <c r="O892" i="17" s="1"/>
  <c r="K892" i="17"/>
  <c r="L892" i="17"/>
  <c r="M892" i="17" s="1"/>
  <c r="J893" i="17"/>
  <c r="O893" i="17" s="1"/>
  <c r="K893" i="17"/>
  <c r="L893" i="17"/>
  <c r="M893" i="17" s="1"/>
  <c r="J894" i="17"/>
  <c r="O894" i="17" s="1"/>
  <c r="K894" i="17"/>
  <c r="L894" i="17"/>
  <c r="M894" i="17" s="1"/>
  <c r="J895" i="17"/>
  <c r="O895" i="17" s="1"/>
  <c r="K895" i="17"/>
  <c r="L895" i="17"/>
  <c r="J896" i="17"/>
  <c r="O896" i="17" s="1"/>
  <c r="K896" i="17"/>
  <c r="L896" i="17"/>
  <c r="M896" i="17" s="1"/>
  <c r="J897" i="17"/>
  <c r="O897" i="17" s="1"/>
  <c r="K897" i="17"/>
  <c r="L897" i="17"/>
  <c r="M897" i="17" s="1"/>
  <c r="J898" i="17"/>
  <c r="O898" i="17" s="1"/>
  <c r="K898" i="17"/>
  <c r="L898" i="17"/>
  <c r="M898" i="17" s="1"/>
  <c r="J899" i="17"/>
  <c r="O899" i="17" s="1"/>
  <c r="K899" i="17"/>
  <c r="L899" i="17"/>
  <c r="J900" i="17"/>
  <c r="O900" i="17" s="1"/>
  <c r="K900" i="17"/>
  <c r="L900" i="17"/>
  <c r="M900" i="17" s="1"/>
  <c r="J901" i="17"/>
  <c r="O901" i="17" s="1"/>
  <c r="K901" i="17"/>
  <c r="L901" i="17"/>
  <c r="M901" i="17" s="1"/>
  <c r="J902" i="17"/>
  <c r="O902" i="17" s="1"/>
  <c r="K902" i="17"/>
  <c r="L902" i="17"/>
  <c r="M902" i="17" s="1"/>
  <c r="J903" i="17"/>
  <c r="O903" i="17" s="1"/>
  <c r="K903" i="17"/>
  <c r="L903" i="17"/>
  <c r="J904" i="17"/>
  <c r="O904" i="17" s="1"/>
  <c r="K904" i="17"/>
  <c r="L904" i="17"/>
  <c r="M904" i="17" s="1"/>
  <c r="J905" i="17"/>
  <c r="O905" i="17" s="1"/>
  <c r="K905" i="17"/>
  <c r="L905" i="17"/>
  <c r="M905" i="17" s="1"/>
  <c r="J906" i="17"/>
  <c r="O906" i="17" s="1"/>
  <c r="K906" i="17"/>
  <c r="L906" i="17"/>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K911" i="17"/>
  <c r="L911" i="17"/>
  <c r="J912" i="17"/>
  <c r="O912" i="17" s="1"/>
  <c r="K912" i="17"/>
  <c r="L912" i="17"/>
  <c r="M912" i="17" s="1"/>
  <c r="J913" i="17"/>
  <c r="O913" i="17" s="1"/>
  <c r="K913" i="17"/>
  <c r="L913" i="17"/>
  <c r="M913" i="17" s="1"/>
  <c r="J914" i="17"/>
  <c r="O914" i="17" s="1"/>
  <c r="K914" i="17"/>
  <c r="L914" i="17"/>
  <c r="M914" i="17" s="1"/>
  <c r="J915" i="17"/>
  <c r="O915" i="17" s="1"/>
  <c r="K915" i="17"/>
  <c r="L915" i="17"/>
  <c r="J916" i="17"/>
  <c r="O916" i="17" s="1"/>
  <c r="K916" i="17"/>
  <c r="L916" i="17"/>
  <c r="M916" i="17" s="1"/>
  <c r="J917" i="17"/>
  <c r="O917" i="17" s="1"/>
  <c r="K917" i="17"/>
  <c r="L917" i="17"/>
  <c r="M917" i="17" s="1"/>
  <c r="J918" i="17"/>
  <c r="O918" i="17" s="1"/>
  <c r="K918" i="17"/>
  <c r="L918" i="17"/>
  <c r="J919" i="17"/>
  <c r="O919" i="17" s="1"/>
  <c r="K919" i="17"/>
  <c r="L919" i="17"/>
  <c r="M919" i="17" s="1"/>
  <c r="J920" i="17"/>
  <c r="O920" i="17" s="1"/>
  <c r="K920" i="17"/>
  <c r="L920" i="17"/>
  <c r="M920" i="17" s="1"/>
  <c r="J921" i="17"/>
  <c r="O921" i="17" s="1"/>
  <c r="K921" i="17"/>
  <c r="L921" i="17"/>
  <c r="M921" i="17" s="1"/>
  <c r="J922" i="17"/>
  <c r="O922" i="17" s="1"/>
  <c r="K922" i="17"/>
  <c r="L922" i="17"/>
  <c r="J923" i="17"/>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J931" i="17"/>
  <c r="O931" i="17" s="1"/>
  <c r="K931" i="17"/>
  <c r="L931" i="17"/>
  <c r="J932" i="17"/>
  <c r="O932" i="17" s="1"/>
  <c r="K932" i="17"/>
  <c r="L932" i="17"/>
  <c r="M932" i="17" s="1"/>
  <c r="J933" i="17"/>
  <c r="K933" i="17"/>
  <c r="L933" i="17"/>
  <c r="M933" i="17" s="1"/>
  <c r="J934" i="17"/>
  <c r="O934" i="17" s="1"/>
  <c r="K934" i="17"/>
  <c r="L934" i="17"/>
  <c r="M934" i="17" s="1"/>
  <c r="J935" i="17"/>
  <c r="O935" i="17" s="1"/>
  <c r="K935" i="17"/>
  <c r="L935" i="17"/>
  <c r="J936" i="17"/>
  <c r="O936" i="17" s="1"/>
  <c r="K936" i="17"/>
  <c r="L936" i="17"/>
  <c r="M936" i="17" s="1"/>
  <c r="J937" i="17"/>
  <c r="O937" i="17" s="1"/>
  <c r="K937" i="17"/>
  <c r="L937" i="17"/>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J947" i="17"/>
  <c r="O947" i="17" s="1"/>
  <c r="K947" i="17"/>
  <c r="L947" i="17"/>
  <c r="M947" i="17" s="1"/>
  <c r="J948" i="17"/>
  <c r="O948" i="17" s="1"/>
  <c r="K948" i="17"/>
  <c r="L948" i="17"/>
  <c r="M948" i="17" s="1"/>
  <c r="J949" i="17"/>
  <c r="O949" i="17" s="1"/>
  <c r="K949" i="17"/>
  <c r="L949" i="17"/>
  <c r="M949" i="17" s="1"/>
  <c r="J950" i="17"/>
  <c r="O950" i="17" s="1"/>
  <c r="K950" i="17"/>
  <c r="L950" i="17"/>
  <c r="J951" i="17"/>
  <c r="O951" i="17" s="1"/>
  <c r="K951" i="17"/>
  <c r="L951" i="17"/>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K959" i="17"/>
  <c r="L959" i="17"/>
  <c r="J960" i="17"/>
  <c r="O960" i="17" s="1"/>
  <c r="K960" i="17"/>
  <c r="L960" i="17"/>
  <c r="M960" i="17" s="1"/>
  <c r="J961" i="17"/>
  <c r="O961" i="17" s="1"/>
  <c r="K961" i="17"/>
  <c r="L961" i="17"/>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J975" i="17"/>
  <c r="O975" i="17" s="1"/>
  <c r="K975" i="17"/>
  <c r="L975" i="17"/>
  <c r="J976" i="17"/>
  <c r="O976" i="17" s="1"/>
  <c r="K976" i="17"/>
  <c r="L976" i="17"/>
  <c r="M976" i="17" s="1"/>
  <c r="J977" i="17"/>
  <c r="O977" i="17" s="1"/>
  <c r="K977" i="17"/>
  <c r="L977" i="17"/>
  <c r="M977" i="17" s="1"/>
  <c r="J978" i="17"/>
  <c r="O978" i="17" s="1"/>
  <c r="K978" i="17"/>
  <c r="L978" i="17"/>
  <c r="M978" i="17" s="1"/>
  <c r="J979" i="17"/>
  <c r="O979" i="17" s="1"/>
  <c r="K979" i="17"/>
  <c r="L979" i="17"/>
  <c r="J980" i="17"/>
  <c r="O980" i="17" s="1"/>
  <c r="K980" i="17"/>
  <c r="L980" i="17"/>
  <c r="M980" i="17" s="1"/>
  <c r="J981" i="17"/>
  <c r="O981" i="17" s="1"/>
  <c r="K981" i="17"/>
  <c r="L981" i="17"/>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K987" i="17"/>
  <c r="L987" i="17"/>
  <c r="M987" i="17" s="1"/>
  <c r="J988" i="17"/>
  <c r="O988" i="17" s="1"/>
  <c r="K988" i="17"/>
  <c r="L988" i="17"/>
  <c r="M988" i="17" s="1"/>
  <c r="J989" i="17"/>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J995" i="17"/>
  <c r="K995" i="17"/>
  <c r="L995" i="17"/>
  <c r="J996" i="17"/>
  <c r="O996" i="17" s="1"/>
  <c r="K996" i="17"/>
  <c r="L996" i="17"/>
  <c r="M996" i="17" s="1"/>
  <c r="J997" i="17"/>
  <c r="O997" i="17" s="1"/>
  <c r="K997" i="17"/>
  <c r="L997" i="17"/>
  <c r="M997" i="17" s="1"/>
  <c r="J998" i="17"/>
  <c r="O998" i="17" s="1"/>
  <c r="K998" i="17"/>
  <c r="L998" i="17"/>
  <c r="M998" i="17" s="1"/>
  <c r="J999" i="17"/>
  <c r="O999" i="17" s="1"/>
  <c r="K999" i="17"/>
  <c r="L999" i="17"/>
  <c r="J1000" i="17"/>
  <c r="O1000" i="17" s="1"/>
  <c r="K1000" i="17"/>
  <c r="L1000" i="17"/>
  <c r="M1000" i="17" s="1"/>
  <c r="J1001" i="17"/>
  <c r="O1001" i="17" s="1"/>
  <c r="K1001" i="17"/>
  <c r="L1001" i="17"/>
  <c r="M1001" i="17" s="1"/>
  <c r="J2" i="17"/>
  <c r="O2" i="17" s="1"/>
  <c r="K2" i="17"/>
  <c r="L2" i="17"/>
  <c r="M2" i="17" s="1"/>
  <c r="I3" i="17"/>
  <c r="N3" i="17" s="1"/>
  <c r="I4" i="17"/>
  <c r="N4" i="17" s="1"/>
  <c r="I5" i="17"/>
  <c r="N5" i="17" s="1"/>
  <c r="I6" i="17"/>
  <c r="N6" i="17" s="1"/>
  <c r="I7" i="17"/>
  <c r="N7" i="17" s="1"/>
  <c r="I8" i="17"/>
  <c r="N8" i="17" s="1"/>
  <c r="I9" i="17"/>
  <c r="I10" i="17"/>
  <c r="N10" i="17" s="1"/>
  <c r="I11" i="17"/>
  <c r="N11" i="17" s="1"/>
  <c r="I12" i="17"/>
  <c r="N12" i="17" s="1"/>
  <c r="I13" i="17"/>
  <c r="N13" i="17" s="1"/>
  <c r="I14" i="17"/>
  <c r="N14" i="17" s="1"/>
  <c r="I15" i="17"/>
  <c r="N15" i="17" s="1"/>
  <c r="I16" i="17"/>
  <c r="N16" i="17" s="1"/>
  <c r="I17" i="17"/>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I82" i="17"/>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I138" i="17"/>
  <c r="N138" i="17" s="1"/>
  <c r="I139" i="17"/>
  <c r="N139" i="17" s="1"/>
  <c r="I140" i="17"/>
  <c r="N140" i="17" s="1"/>
  <c r="I141" i="17"/>
  <c r="I142" i="17"/>
  <c r="N142" i="17" s="1"/>
  <c r="I143" i="17"/>
  <c r="N143" i="17" s="1"/>
  <c r="I144" i="17"/>
  <c r="N144" i="17" s="1"/>
  <c r="I145" i="17"/>
  <c r="N145" i="17" s="1"/>
  <c r="I146" i="17"/>
  <c r="N146" i="17" s="1"/>
  <c r="I147" i="17"/>
  <c r="N147" i="17" s="1"/>
  <c r="I148" i="17"/>
  <c r="N148" i="17" s="1"/>
  <c r="I149" i="17"/>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I234" i="17"/>
  <c r="N234" i="17" s="1"/>
  <c r="I235" i="17"/>
  <c r="N235" i="17" s="1"/>
  <c r="I236" i="17"/>
  <c r="N236" i="17" s="1"/>
  <c r="I237" i="17"/>
  <c r="N237" i="17" s="1"/>
  <c r="I238" i="17"/>
  <c r="N238" i="17" s="1"/>
  <c r="I239" i="17"/>
  <c r="N239" i="17" s="1"/>
  <c r="I240" i="17"/>
  <c r="N240" i="17" s="1"/>
  <c r="I241" i="17"/>
  <c r="N241" i="17" s="1"/>
  <c r="I242" i="17"/>
  <c r="I243" i="17"/>
  <c r="N243" i="17" s="1"/>
  <c r="I244" i="17"/>
  <c r="N244" i="17" s="1"/>
  <c r="I245" i="17"/>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I291" i="17"/>
  <c r="N291" i="17" s="1"/>
  <c r="I292" i="17"/>
  <c r="N292" i="17" s="1"/>
  <c r="I293" i="17"/>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I315" i="17"/>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I352" i="17"/>
  <c r="N352" i="17" s="1"/>
  <c r="I353" i="17"/>
  <c r="N353" i="17" s="1"/>
  <c r="I354" i="17"/>
  <c r="N354" i="17" s="1"/>
  <c r="I355" i="17"/>
  <c r="N355" i="17" s="1"/>
  <c r="I356" i="17"/>
  <c r="N356" i="17" s="1"/>
  <c r="I357" i="17"/>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I490" i="17"/>
  <c r="N490" i="17" s="1"/>
  <c r="I491" i="17"/>
  <c r="N491" i="17" s="1"/>
  <c r="I492" i="17"/>
  <c r="N492" i="17" s="1"/>
  <c r="I493" i="17"/>
  <c r="N493" i="17" s="1"/>
  <c r="I494" i="17"/>
  <c r="N494" i="17" s="1"/>
  <c r="I495" i="17"/>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I520" i="17"/>
  <c r="N520" i="17" s="1"/>
  <c r="I521" i="17"/>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I568" i="17"/>
  <c r="N568" i="17" s="1"/>
  <c r="I569" i="17"/>
  <c r="N569" i="17" s="1"/>
  <c r="I570" i="17"/>
  <c r="N570" i="17" s="1"/>
  <c r="I571" i="17"/>
  <c r="N571" i="17" s="1"/>
  <c r="I572" i="17"/>
  <c r="N572" i="17" s="1"/>
  <c r="I573" i="17"/>
  <c r="N573" i="17" s="1"/>
  <c r="I574" i="17"/>
  <c r="I575" i="17"/>
  <c r="N575" i="17" s="1"/>
  <c r="I576" i="17"/>
  <c r="N576" i="17" s="1"/>
  <c r="I577" i="17"/>
  <c r="N577" i="17" s="1"/>
  <c r="I578" i="17"/>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I603" i="17"/>
  <c r="I604" i="17"/>
  <c r="N604" i="17" s="1"/>
  <c r="I605" i="17"/>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I618" i="17"/>
  <c r="N618" i="17" s="1"/>
  <c r="I619" i="17"/>
  <c r="N619" i="17" s="1"/>
  <c r="I620" i="17"/>
  <c r="N620" i="17" s="1"/>
  <c r="I621" i="17"/>
  <c r="N621" i="17" s="1"/>
  <c r="I622" i="17"/>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I652" i="17"/>
  <c r="N652" i="17" s="1"/>
  <c r="I653" i="17"/>
  <c r="I654" i="17"/>
  <c r="N654" i="17" s="1"/>
  <c r="I655" i="17"/>
  <c r="N655" i="17" s="1"/>
  <c r="I656" i="17"/>
  <c r="N656" i="17" s="1"/>
  <c r="I657" i="17"/>
  <c r="I658" i="17"/>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I723" i="17"/>
  <c r="N723" i="17" s="1"/>
  <c r="I724" i="17"/>
  <c r="N724" i="17" s="1"/>
  <c r="I725" i="17"/>
  <c r="I726" i="17"/>
  <c r="N726" i="17" s="1"/>
  <c r="I727" i="17"/>
  <c r="N727" i="17" s="1"/>
  <c r="I728" i="17"/>
  <c r="N728" i="17" s="1"/>
  <c r="I729" i="17"/>
  <c r="N729" i="17" s="1"/>
  <c r="I730" i="17"/>
  <c r="N730" i="17" s="1"/>
  <c r="I731" i="17"/>
  <c r="N731" i="17" s="1"/>
  <c r="I732" i="17"/>
  <c r="N732" i="17" s="1"/>
  <c r="I733" i="17"/>
  <c r="N733" i="17" s="1"/>
  <c r="I734" i="17"/>
  <c r="N734" i="17" s="1"/>
  <c r="I735" i="17"/>
  <c r="I736" i="17"/>
  <c r="N736" i="17" s="1"/>
  <c r="I737" i="17"/>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I759" i="17"/>
  <c r="I760" i="17"/>
  <c r="N760" i="17" s="1"/>
  <c r="I761" i="17"/>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I774" i="17"/>
  <c r="N774" i="17" s="1"/>
  <c r="I775" i="17"/>
  <c r="N775" i="17" s="1"/>
  <c r="I776" i="17"/>
  <c r="N776" i="17" s="1"/>
  <c r="I777" i="17"/>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I796" i="17"/>
  <c r="N796" i="17" s="1"/>
  <c r="I797" i="17"/>
  <c r="I798" i="17"/>
  <c r="N798" i="17" s="1"/>
  <c r="I799" i="17"/>
  <c r="N799" i="17" s="1"/>
  <c r="I800" i="17"/>
  <c r="N800" i="17" s="1"/>
  <c r="I801" i="17"/>
  <c r="N801" i="17" s="1"/>
  <c r="I802" i="17"/>
  <c r="N802" i="17" s="1"/>
  <c r="I803" i="17"/>
  <c r="N803" i="17" s="1"/>
  <c r="I804" i="17"/>
  <c r="N804" i="17" s="1"/>
  <c r="I805" i="17"/>
  <c r="N805" i="17" s="1"/>
  <c r="I806" i="17"/>
  <c r="N806" i="17" s="1"/>
  <c r="I807" i="17"/>
  <c r="I808" i="17"/>
  <c r="N808" i="17" s="1"/>
  <c r="I809" i="17"/>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I846" i="17"/>
  <c r="N846" i="17" s="1"/>
  <c r="I847" i="17"/>
  <c r="N847" i="17" s="1"/>
  <c r="I848" i="17"/>
  <c r="N848" i="17" s="1"/>
  <c r="I849" i="17"/>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I880" i="17"/>
  <c r="N880" i="17" s="1"/>
  <c r="I881" i="17"/>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I903" i="17"/>
  <c r="N903" i="17" s="1"/>
  <c r="I904" i="17"/>
  <c r="N904" i="17" s="1"/>
  <c r="I905" i="17"/>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I918" i="17"/>
  <c r="N918" i="17" s="1"/>
  <c r="I919" i="17"/>
  <c r="N919" i="17" s="1"/>
  <c r="I920" i="17"/>
  <c r="N920" i="17" s="1"/>
  <c r="I921" i="17"/>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I939" i="17"/>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I976" i="17"/>
  <c r="N976" i="17" s="1"/>
  <c r="I977" i="17"/>
  <c r="N977" i="17" s="1"/>
  <c r="I978" i="17"/>
  <c r="N978" i="17" s="1"/>
  <c r="I979" i="17"/>
  <c r="N979" i="17" s="1"/>
  <c r="I980" i="17"/>
  <c r="N980" i="17" s="1"/>
  <c r="I981" i="17"/>
  <c r="I982" i="17"/>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a="1"/>
  <c r="G3" i="17" s="1"/>
  <c r="G4" i="17" a="1"/>
  <c r="G4" i="17" s="1"/>
  <c r="G5" i="17" a="1"/>
  <c r="G5" i="17" s="1"/>
  <c r="G6" i="17" a="1"/>
  <c r="G6" i="17" s="1"/>
  <c r="G7" i="17" a="1"/>
  <c r="G7" i="17" s="1"/>
  <c r="G8" i="17" a="1"/>
  <c r="G8" i="17" s="1"/>
  <c r="G9" i="17" a="1"/>
  <c r="G9" i="17" s="1"/>
  <c r="G10" i="17" a="1"/>
  <c r="G10" i="17" s="1"/>
  <c r="G11" i="17" a="1"/>
  <c r="G11" i="17" s="1"/>
  <c r="G12" i="17" a="1"/>
  <c r="G12" i="17" s="1"/>
  <c r="G13" i="17" a="1"/>
  <c r="G13" i="17" s="1"/>
  <c r="G14" i="17" a="1"/>
  <c r="G14" i="17" s="1"/>
  <c r="G15" i="17" a="1"/>
  <c r="G15" i="17" s="1"/>
  <c r="G16" i="17" a="1"/>
  <c r="G16" i="17" s="1"/>
  <c r="G17" i="17" a="1"/>
  <c r="G17" i="17" s="1"/>
  <c r="G18" i="17" a="1"/>
  <c r="G18" i="17" s="1"/>
  <c r="G19" i="17" a="1"/>
  <c r="G19" i="17" s="1"/>
  <c r="G20" i="17" a="1"/>
  <c r="G20" i="17" s="1"/>
  <c r="G21" i="17" a="1"/>
  <c r="G21" i="17" s="1"/>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G33" i="17" a="1"/>
  <c r="G33" i="17" s="1"/>
  <c r="G34" i="17" a="1"/>
  <c r="G34" i="17" s="1"/>
  <c r="G35" i="17" a="1"/>
  <c r="G35" i="17" s="1"/>
  <c r="G36" i="17" a="1"/>
  <c r="G36" i="17" s="1"/>
  <c r="G37" i="17" a="1"/>
  <c r="G37" i="17" s="1"/>
  <c r="G38" i="17" a="1"/>
  <c r="G38" i="17" s="1"/>
  <c r="G39" i="17" a="1"/>
  <c r="G39" i="17" s="1"/>
  <c r="G40" i="17" a="1"/>
  <c r="G40" i="17" s="1"/>
  <c r="G41" i="17" a="1"/>
  <c r="G41" i="17" s="1"/>
  <c r="G42" i="17" a="1"/>
  <c r="G42" i="17" s="1"/>
  <c r="G43" i="17" a="1"/>
  <c r="G43" i="17" s="1"/>
  <c r="G44" i="17" a="1"/>
  <c r="G44" i="17" s="1"/>
  <c r="G45" i="17" a="1"/>
  <c r="G45" i="17"/>
  <c r="G46" i="17" a="1"/>
  <c r="G46" i="17" s="1"/>
  <c r="G47" i="17" a="1"/>
  <c r="G47" i="17" s="1"/>
  <c r="G48" i="17" a="1"/>
  <c r="G48" i="17" s="1"/>
  <c r="G49" i="17" a="1"/>
  <c r="G49" i="17" s="1"/>
  <c r="G50" i="17" a="1"/>
  <c r="G50" i="17" s="1"/>
  <c r="G51" i="17" a="1"/>
  <c r="G51" i="17" s="1"/>
  <c r="G52" i="17" a="1"/>
  <c r="G52" i="17" s="1"/>
  <c r="G53" i="17" a="1"/>
  <c r="G53" i="17" s="1"/>
  <c r="G54" i="17" a="1"/>
  <c r="G54" i="17" s="1"/>
  <c r="G55" i="17" a="1"/>
  <c r="G55" i="17" s="1"/>
  <c r="G56" i="17" a="1"/>
  <c r="G56" i="17" s="1"/>
  <c r="G57" i="17" a="1"/>
  <c r="G57" i="17" s="1"/>
  <c r="G58" i="17" a="1"/>
  <c r="G58" i="17" s="1"/>
  <c r="G59" i="17" a="1"/>
  <c r="G59" i="17" s="1"/>
  <c r="G60" i="17" a="1"/>
  <c r="G60" i="17"/>
  <c r="G61" i="17" a="1"/>
  <c r="G61" i="17" s="1"/>
  <c r="G62" i="17" a="1"/>
  <c r="G62" i="17" s="1"/>
  <c r="G63" i="17" a="1"/>
  <c r="G63" i="17"/>
  <c r="G64" i="17" a="1"/>
  <c r="G64" i="17" s="1"/>
  <c r="G65" i="17" a="1"/>
  <c r="G65" i="17" s="1"/>
  <c r="G66" i="17" a="1"/>
  <c r="G66" i="17" s="1"/>
  <c r="G67" i="17" a="1"/>
  <c r="G67" i="17" s="1"/>
  <c r="G68" i="17" a="1"/>
  <c r="G68" i="17" s="1"/>
  <c r="G69" i="17" a="1"/>
  <c r="G69" i="17" s="1"/>
  <c r="G70" i="17" a="1"/>
  <c r="G70" i="17" s="1"/>
  <c r="G71" i="17" a="1"/>
  <c r="G71" i="17" s="1"/>
  <c r="G72" i="17" a="1"/>
  <c r="G72" i="17" s="1"/>
  <c r="G73" i="17" a="1"/>
  <c r="G73" i="17" s="1"/>
  <c r="G74" i="17" a="1"/>
  <c r="G74" i="17" s="1"/>
  <c r="G75" i="17" a="1"/>
  <c r="G75" i="17" s="1"/>
  <c r="G76" i="17" a="1"/>
  <c r="G76" i="17" s="1"/>
  <c r="G77" i="17" a="1"/>
  <c r="G77" i="17" s="1"/>
  <c r="G78" i="17" a="1"/>
  <c r="G78" i="17" s="1"/>
  <c r="G79" i="17" a="1"/>
  <c r="G79" i="17" s="1"/>
  <c r="G80" i="17" a="1"/>
  <c r="G80" i="17" s="1"/>
  <c r="G81" i="17" a="1"/>
  <c r="G81" i="17" s="1"/>
  <c r="G82" i="17" a="1"/>
  <c r="G82" i="17" s="1"/>
  <c r="G83" i="17" a="1"/>
  <c r="G83" i="17" s="1"/>
  <c r="G84" i="17" a="1"/>
  <c r="G84" i="17" s="1"/>
  <c r="G85" i="17" a="1"/>
  <c r="G85" i="17" s="1"/>
  <c r="G86" i="17" a="1"/>
  <c r="G86" i="17" s="1"/>
  <c r="G87" i="17" a="1"/>
  <c r="G87" i="17"/>
  <c r="G88" i="17" a="1"/>
  <c r="G88" i="17" s="1"/>
  <c r="G89" i="17" a="1"/>
  <c r="G89" i="17" s="1"/>
  <c r="G90" i="17" a="1"/>
  <c r="G90" i="17"/>
  <c r="G91" i="17" a="1"/>
  <c r="G91" i="17" s="1"/>
  <c r="G92" i="17" a="1"/>
  <c r="G92" i="17" s="1"/>
  <c r="G93" i="17" a="1"/>
  <c r="G93" i="17" s="1"/>
  <c r="G94" i="17" a="1"/>
  <c r="G94" i="17" s="1"/>
  <c r="G95" i="17" a="1"/>
  <c r="G95" i="17" s="1"/>
  <c r="G96" i="17" a="1"/>
  <c r="G96" i="17"/>
  <c r="G97" i="17" a="1"/>
  <c r="G97" i="17" s="1"/>
  <c r="G98" i="17" a="1"/>
  <c r="G98" i="17" s="1"/>
  <c r="G99" i="17" a="1"/>
  <c r="G99" i="17" s="1"/>
  <c r="G100" i="17" a="1"/>
  <c r="G100" i="17" s="1"/>
  <c r="G101" i="17" a="1"/>
  <c r="G101" i="17" s="1"/>
  <c r="G102" i="17" a="1"/>
  <c r="G102" i="17" s="1"/>
  <c r="G103" i="17" a="1"/>
  <c r="G103" i="17" s="1"/>
  <c r="G104" i="17" a="1"/>
  <c r="G104" i="17" s="1"/>
  <c r="G105" i="17" a="1"/>
  <c r="G105" i="17" s="1"/>
  <c r="G106" i="17" a="1"/>
  <c r="G106" i="17"/>
  <c r="G107" i="17" a="1"/>
  <c r="G107" i="17"/>
  <c r="G108" i="17" a="1"/>
  <c r="G108" i="17" s="1"/>
  <c r="G109" i="17" a="1"/>
  <c r="G109" i="17" s="1"/>
  <c r="G110" i="17" a="1"/>
  <c r="G110" i="17" s="1"/>
  <c r="G111" i="17" a="1"/>
  <c r="G111" i="17" s="1"/>
  <c r="G112" i="17" a="1"/>
  <c r="G112" i="17" s="1"/>
  <c r="G113" i="17" a="1"/>
  <c r="G113" i="17" s="1"/>
  <c r="G114" i="17" a="1"/>
  <c r="G114" i="17" s="1"/>
  <c r="G115" i="17" a="1"/>
  <c r="G115" i="17" s="1"/>
  <c r="G116" i="17" a="1"/>
  <c r="G116" i="17" s="1"/>
  <c r="G117" i="17" a="1"/>
  <c r="G117" i="17" s="1"/>
  <c r="G118" i="17" a="1"/>
  <c r="G118" i="17" s="1"/>
  <c r="G119" i="17" a="1"/>
  <c r="G119" i="17" s="1"/>
  <c r="G120" i="17" a="1"/>
  <c r="G120" i="17" s="1"/>
  <c r="G121" i="17" a="1"/>
  <c r="G121" i="17" s="1"/>
  <c r="G122" i="17" a="1"/>
  <c r="G122" i="17"/>
  <c r="G123" i="17" a="1"/>
  <c r="G123" i="17" s="1"/>
  <c r="G124" i="17" a="1"/>
  <c r="G124" i="17" s="1"/>
  <c r="G125" i="17" a="1"/>
  <c r="G125" i="17" s="1"/>
  <c r="G126" i="17" a="1"/>
  <c r="G126" i="17" s="1"/>
  <c r="G127" i="17" a="1"/>
  <c r="G127" i="17" s="1"/>
  <c r="G128" i="17" a="1"/>
  <c r="G128" i="17" s="1"/>
  <c r="G129" i="17" a="1"/>
  <c r="G129" i="17" s="1"/>
  <c r="G130" i="17" a="1"/>
  <c r="G130" i="17" s="1"/>
  <c r="G131" i="17" a="1"/>
  <c r="G131" i="17" s="1"/>
  <c r="G132" i="17" a="1"/>
  <c r="G132" i="17" s="1"/>
  <c r="G133" i="17" a="1"/>
  <c r="G133" i="17" s="1"/>
  <c r="G134" i="17" a="1"/>
  <c r="G134" i="17" s="1"/>
  <c r="G135" i="17" a="1"/>
  <c r="G135" i="17" s="1"/>
  <c r="G136" i="17" a="1"/>
  <c r="G136" i="17"/>
  <c r="G137" i="17" a="1"/>
  <c r="G137" i="17" s="1"/>
  <c r="G138" i="17" a="1"/>
  <c r="G138" i="17" s="1"/>
  <c r="G139" i="17" a="1"/>
  <c r="G139" i="17" s="1"/>
  <c r="G140" i="17" a="1"/>
  <c r="G140" i="17" s="1"/>
  <c r="G141" i="17" a="1"/>
  <c r="G141" i="17" s="1"/>
  <c r="G142" i="17" a="1"/>
  <c r="G142" i="17"/>
  <c r="G143" i="17" a="1"/>
  <c r="G143" i="17" s="1"/>
  <c r="G144" i="17" a="1"/>
  <c r="G144" i="17" s="1"/>
  <c r="G145" i="17" a="1"/>
  <c r="G145" i="17" s="1"/>
  <c r="G146" i="17" a="1"/>
  <c r="G146" i="17" s="1"/>
  <c r="G147" i="17" a="1"/>
  <c r="G147" i="17" s="1"/>
  <c r="G148" i="17" a="1"/>
  <c r="G148" i="17" s="1"/>
  <c r="G149" i="17" a="1"/>
  <c r="G149" i="17"/>
  <c r="G150" i="17" a="1"/>
  <c r="G150" i="17" s="1"/>
  <c r="G151" i="17" a="1"/>
  <c r="G151" i="17" s="1"/>
  <c r="G152" i="17" a="1"/>
  <c r="G152" i="17" s="1"/>
  <c r="G153" i="17" a="1"/>
  <c r="G153" i="17" s="1"/>
  <c r="G154" i="17" a="1"/>
  <c r="G154" i="17" s="1"/>
  <c r="G155" i="17" a="1"/>
  <c r="G155" i="17" s="1"/>
  <c r="G156" i="17" a="1"/>
  <c r="G156" i="17" s="1"/>
  <c r="G157" i="17" a="1"/>
  <c r="G157" i="17" s="1"/>
  <c r="G158" i="17" a="1"/>
  <c r="G158" i="17" s="1"/>
  <c r="G159" i="17" a="1"/>
  <c r="G159" i="17" s="1"/>
  <c r="G160" i="17" a="1"/>
  <c r="G160" i="17" s="1"/>
  <c r="G161" i="17" a="1"/>
  <c r="G161" i="17" s="1"/>
  <c r="G162" i="17" a="1"/>
  <c r="G162" i="17"/>
  <c r="G163" i="17" a="1"/>
  <c r="G163" i="17" s="1"/>
  <c r="G164" i="17" a="1"/>
  <c r="G164" i="17" s="1"/>
  <c r="G165" i="17" a="1"/>
  <c r="G165" i="17" s="1"/>
  <c r="G166" i="17" a="1"/>
  <c r="G166" i="17" s="1"/>
  <c r="G167" i="17" a="1"/>
  <c r="G167" i="17" s="1"/>
  <c r="G168" i="17" a="1"/>
  <c r="G168" i="17" s="1"/>
  <c r="G169" i="17" a="1"/>
  <c r="G169" i="17" s="1"/>
  <c r="G170" i="17" a="1"/>
  <c r="G170" i="17" s="1"/>
  <c r="G171" i="17" a="1"/>
  <c r="G171" i="17" s="1"/>
  <c r="G172" i="17" a="1"/>
  <c r="G172" i="17" s="1"/>
  <c r="G173" i="17" a="1"/>
  <c r="G173" i="17" s="1"/>
  <c r="G174" i="17" a="1"/>
  <c r="G174" i="17" s="1"/>
  <c r="G175" i="17" a="1"/>
  <c r="G175" i="17"/>
  <c r="G176" i="17" a="1"/>
  <c r="G176" i="17" s="1"/>
  <c r="G177" i="17" a="1"/>
  <c r="G177" i="17" s="1"/>
  <c r="G178" i="17" a="1"/>
  <c r="G178" i="17" s="1"/>
  <c r="G179" i="17" a="1"/>
  <c r="G179" i="17" s="1"/>
  <c r="G180" i="17" a="1"/>
  <c r="G180" i="17" s="1"/>
  <c r="G181" i="17" a="1"/>
  <c r="G181" i="17" s="1"/>
  <c r="G182" i="17" a="1"/>
  <c r="G182" i="17" s="1"/>
  <c r="G183" i="17" a="1"/>
  <c r="G183" i="17" s="1"/>
  <c r="G184" i="17" a="1"/>
  <c r="G184" i="17" s="1"/>
  <c r="G185" i="17" a="1"/>
  <c r="G185" i="17" s="1"/>
  <c r="G186" i="17" a="1"/>
  <c r="G186" i="17" s="1"/>
  <c r="G187" i="17" a="1"/>
  <c r="G187" i="17"/>
  <c r="G188" i="17" a="1"/>
  <c r="G188" i="17" s="1"/>
  <c r="G189" i="17" a="1"/>
  <c r="G189" i="17" s="1"/>
  <c r="G190" i="17" a="1"/>
  <c r="G190" i="17" s="1"/>
  <c r="G191" i="17" a="1"/>
  <c r="G191" i="17"/>
  <c r="G192" i="17" a="1"/>
  <c r="G192" i="17" s="1"/>
  <c r="G193" i="17" a="1"/>
  <c r="G193" i="17" s="1"/>
  <c r="G194" i="17" a="1"/>
  <c r="G194" i="17" s="1"/>
  <c r="G195" i="17" a="1"/>
  <c r="G195" i="17" s="1"/>
  <c r="G196" i="17" a="1"/>
  <c r="G196" i="17" s="1"/>
  <c r="G197" i="17" a="1"/>
  <c r="G197" i="17" s="1"/>
  <c r="G198" i="17" a="1"/>
  <c r="G198" i="17" s="1"/>
  <c r="G199" i="17" a="1"/>
  <c r="G199" i="17" s="1"/>
  <c r="G200" i="17" a="1"/>
  <c r="G200" i="17" s="1"/>
  <c r="G201" i="17" a="1"/>
  <c r="G201" i="17" s="1"/>
  <c r="G202" i="17" a="1"/>
  <c r="G202" i="17" s="1"/>
  <c r="G203" i="17" a="1"/>
  <c r="G203" i="17" s="1"/>
  <c r="G204" i="17" a="1"/>
  <c r="G204" i="17" s="1"/>
  <c r="G205" i="17" a="1"/>
  <c r="G205" i="17" s="1"/>
  <c r="G206" i="17" a="1"/>
  <c r="G206" i="17" s="1"/>
  <c r="G207" i="17" a="1"/>
  <c r="G207" i="17" s="1"/>
  <c r="G208" i="17" a="1"/>
  <c r="G208" i="17" s="1"/>
  <c r="G209" i="17" a="1"/>
  <c r="G209" i="17" s="1"/>
  <c r="G210" i="17" a="1"/>
  <c r="G210" i="17" s="1"/>
  <c r="G211" i="17" a="1"/>
  <c r="G211" i="17" s="1"/>
  <c r="G212" i="17" a="1"/>
  <c r="G212" i="17" s="1"/>
  <c r="G213" i="17" a="1"/>
  <c r="G213" i="17" s="1"/>
  <c r="G214" i="17" a="1"/>
  <c r="G214" i="17" s="1"/>
  <c r="G215" i="17" a="1"/>
  <c r="G215" i="17" s="1"/>
  <c r="G216" i="17" a="1"/>
  <c r="G216" i="17" s="1"/>
  <c r="G217" i="17" a="1"/>
  <c r="G217" i="17" s="1"/>
  <c r="G218" i="17" a="1"/>
  <c r="G218" i="17" s="1"/>
  <c r="G219" i="17" a="1"/>
  <c r="G219" i="17" s="1"/>
  <c r="G220" i="17" a="1"/>
  <c r="G220" i="17" s="1"/>
  <c r="G221" i="17" a="1"/>
  <c r="G221" i="17" s="1"/>
  <c r="G222" i="17" a="1"/>
  <c r="G222" i="17"/>
  <c r="G223" i="17" a="1"/>
  <c r="G223" i="17" s="1"/>
  <c r="G224" i="17" a="1"/>
  <c r="G224" i="17" s="1"/>
  <c r="G225" i="17" a="1"/>
  <c r="G225" i="17" s="1"/>
  <c r="G226" i="17" a="1"/>
  <c r="G226" i="17" s="1"/>
  <c r="G227" i="17" a="1"/>
  <c r="G227" i="17" s="1"/>
  <c r="G228" i="17" a="1"/>
  <c r="G228" i="17" s="1"/>
  <c r="G229" i="17" a="1"/>
  <c r="G229" i="17" s="1"/>
  <c r="G230" i="17" a="1"/>
  <c r="G230" i="17" s="1"/>
  <c r="G231" i="17" a="1"/>
  <c r="G231" i="17" s="1"/>
  <c r="G232" i="17" a="1"/>
  <c r="G232" i="17"/>
  <c r="G233" i="17" a="1"/>
  <c r="G233" i="17" s="1"/>
  <c r="G234" i="17" a="1"/>
  <c r="G234" i="17" s="1"/>
  <c r="G235" i="17" a="1"/>
  <c r="G235" i="17" s="1"/>
  <c r="G236" i="17" a="1"/>
  <c r="G236" i="17" s="1"/>
  <c r="G237" i="17" a="1"/>
  <c r="G237" i="17" s="1"/>
  <c r="G238" i="17" a="1"/>
  <c r="G238" i="17" s="1"/>
  <c r="G239" i="17" a="1"/>
  <c r="G239" i="17"/>
  <c r="G240" i="17" a="1"/>
  <c r="G240" i="17" s="1"/>
  <c r="G241" i="17" a="1"/>
  <c r="G241" i="17" s="1"/>
  <c r="G242" i="17" a="1"/>
  <c r="G242" i="17" s="1"/>
  <c r="G243" i="17" a="1"/>
  <c r="G243" i="17" s="1"/>
  <c r="G244" i="17" a="1"/>
  <c r="G244" i="17" s="1"/>
  <c r="G245" i="17" a="1"/>
  <c r="G245" i="17" s="1"/>
  <c r="G246" i="17" a="1"/>
  <c r="G246" i="17"/>
  <c r="G247" i="17" a="1"/>
  <c r="G247" i="17" s="1"/>
  <c r="G248" i="17" a="1"/>
  <c r="G248" i="17" s="1"/>
  <c r="G249" i="17" a="1"/>
  <c r="G249" i="17" s="1"/>
  <c r="G250" i="17" a="1"/>
  <c r="G250" i="17" s="1"/>
  <c r="G251" i="17" a="1"/>
  <c r="G251" i="17" s="1"/>
  <c r="G252" i="17" a="1"/>
  <c r="G252" i="17" s="1"/>
  <c r="G253" i="17" a="1"/>
  <c r="G253" i="17" s="1"/>
  <c r="G254" i="17" a="1"/>
  <c r="G254" i="17" s="1"/>
  <c r="G255" i="17" a="1"/>
  <c r="G255" i="17" s="1"/>
  <c r="G256" i="17" a="1"/>
  <c r="G256" i="17" s="1"/>
  <c r="G257" i="17" a="1"/>
  <c r="G257" i="17"/>
  <c r="G258" i="17" a="1"/>
  <c r="G258" i="17" s="1"/>
  <c r="G259" i="17" a="1"/>
  <c r="G259" i="17" s="1"/>
  <c r="G260" i="17" a="1"/>
  <c r="G260" i="17" s="1"/>
  <c r="G261" i="17" a="1"/>
  <c r="G261" i="17" s="1"/>
  <c r="G262" i="17" a="1"/>
  <c r="G262" i="17" s="1"/>
  <c r="G263" i="17" a="1"/>
  <c r="G263" i="17"/>
  <c r="G264" i="17" a="1"/>
  <c r="G264" i="17" s="1"/>
  <c r="G265" i="17" a="1"/>
  <c r="G265" i="17" s="1"/>
  <c r="G266" i="17" a="1"/>
  <c r="G266" i="17" s="1"/>
  <c r="G267" i="17" a="1"/>
  <c r="G267" i="17" s="1"/>
  <c r="G268" i="17" a="1"/>
  <c r="G268" i="17" s="1"/>
  <c r="G269" i="17" a="1"/>
  <c r="G269" i="17" s="1"/>
  <c r="G270" i="17" a="1"/>
  <c r="G270" i="17" s="1"/>
  <c r="G271" i="17" a="1"/>
  <c r="G271" i="17" s="1"/>
  <c r="G272" i="17" a="1"/>
  <c r="G272" i="17" s="1"/>
  <c r="G273" i="17" a="1"/>
  <c r="G273" i="17" s="1"/>
  <c r="G274" i="17" a="1"/>
  <c r="G274" i="17" s="1"/>
  <c r="G275" i="17" a="1"/>
  <c r="G275" i="17" s="1"/>
  <c r="G276" i="17" a="1"/>
  <c r="G276" i="17" s="1"/>
  <c r="G277" i="17" a="1"/>
  <c r="G277" i="17" s="1"/>
  <c r="G278" i="17" a="1"/>
  <c r="G278" i="17"/>
  <c r="G279" i="17" a="1"/>
  <c r="G279" i="17" s="1"/>
  <c r="G280" i="17" a="1"/>
  <c r="G280" i="17" s="1"/>
  <c r="G281" i="17" a="1"/>
  <c r="G281" i="17" s="1"/>
  <c r="G282" i="17" a="1"/>
  <c r="G282" i="17" s="1"/>
  <c r="G283" i="17" a="1"/>
  <c r="G283" i="17" s="1"/>
  <c r="G284" i="17" a="1"/>
  <c r="G284" i="17" s="1"/>
  <c r="G285" i="17" a="1"/>
  <c r="G285" i="17" s="1"/>
  <c r="G286" i="17" a="1"/>
  <c r="G286" i="17" s="1"/>
  <c r="G287" i="17" a="1"/>
  <c r="G287" i="17" s="1"/>
  <c r="G288" i="17" a="1"/>
  <c r="G288" i="17" s="1"/>
  <c r="G289" i="17" a="1"/>
  <c r="G289" i="17" s="1"/>
  <c r="G290" i="17" a="1"/>
  <c r="G290" i="17" s="1"/>
  <c r="G291" i="17" a="1"/>
  <c r="G291" i="17" s="1"/>
  <c r="G292" i="17" a="1"/>
  <c r="G292" i="17" s="1"/>
  <c r="G293" i="17" a="1"/>
  <c r="G293" i="17" s="1"/>
  <c r="G294" i="17" a="1"/>
  <c r="G294" i="17" s="1"/>
  <c r="G295" i="17" a="1"/>
  <c r="G295" i="17" s="1"/>
  <c r="G296" i="17" a="1"/>
  <c r="G296" i="17" s="1"/>
  <c r="G297" i="17" a="1"/>
  <c r="G297" i="17" s="1"/>
  <c r="G298" i="17" a="1"/>
  <c r="G298" i="17"/>
  <c r="G299" i="17" a="1"/>
  <c r="G299" i="17" s="1"/>
  <c r="G300" i="17" a="1"/>
  <c r="G300" i="17" s="1"/>
  <c r="G301" i="17" a="1"/>
  <c r="G301" i="17" s="1"/>
  <c r="G302" i="17" a="1"/>
  <c r="G302" i="17" s="1"/>
  <c r="G303" i="17" a="1"/>
  <c r="G303" i="17" s="1"/>
  <c r="G304" i="17" a="1"/>
  <c r="G304" i="17"/>
  <c r="G305" i="17" a="1"/>
  <c r="G305" i="17" s="1"/>
  <c r="G306" i="17" a="1"/>
  <c r="G306" i="17" s="1"/>
  <c r="G307" i="17" a="1"/>
  <c r="G307" i="17" s="1"/>
  <c r="G308" i="17" a="1"/>
  <c r="G308" i="17" s="1"/>
  <c r="G309" i="17" a="1"/>
  <c r="G309" i="17" s="1"/>
  <c r="G310" i="17" a="1"/>
  <c r="G310" i="17" s="1"/>
  <c r="G311" i="17" a="1"/>
  <c r="G311" i="17" s="1"/>
  <c r="G312" i="17" a="1"/>
  <c r="G312" i="17" s="1"/>
  <c r="G313" i="17" a="1"/>
  <c r="G313" i="17"/>
  <c r="G314" i="17" a="1"/>
  <c r="G314" i="17" s="1"/>
  <c r="G315" i="17" a="1"/>
  <c r="G315" i="17" s="1"/>
  <c r="G316" i="17" a="1"/>
  <c r="G316" i="17" s="1"/>
  <c r="G317" i="17" a="1"/>
  <c r="G317" i="17" s="1"/>
  <c r="G318" i="17" a="1"/>
  <c r="G318" i="17" s="1"/>
  <c r="G319" i="17" a="1"/>
  <c r="G319" i="17" s="1"/>
  <c r="G320" i="17" a="1"/>
  <c r="G320" i="17" s="1"/>
  <c r="G321" i="17" a="1"/>
  <c r="G321" i="17" s="1"/>
  <c r="G322" i="17" a="1"/>
  <c r="G322" i="17" s="1"/>
  <c r="G323" i="17" a="1"/>
  <c r="G323" i="17" s="1"/>
  <c r="G324" i="17" a="1"/>
  <c r="G324" i="17" s="1"/>
  <c r="G325" i="17" a="1"/>
  <c r="G325" i="17" s="1"/>
  <c r="G326" i="17" a="1"/>
  <c r="G326" i="17" s="1"/>
  <c r="G327" i="17" a="1"/>
  <c r="G327" i="17" s="1"/>
  <c r="G328" i="17" a="1"/>
  <c r="G328" i="17"/>
  <c r="G329" i="17" a="1"/>
  <c r="G329" i="17" s="1"/>
  <c r="G330" i="17" a="1"/>
  <c r="G330" i="17" s="1"/>
  <c r="G331" i="17" a="1"/>
  <c r="G331" i="17" s="1"/>
  <c r="G332" i="17" a="1"/>
  <c r="G332" i="17" s="1"/>
  <c r="G333" i="17" a="1"/>
  <c r="G333" i="17" s="1"/>
  <c r="G334" i="17" a="1"/>
  <c r="G334" i="17" s="1"/>
  <c r="G335" i="17" a="1"/>
  <c r="G335" i="17" s="1"/>
  <c r="G336" i="17" a="1"/>
  <c r="G336" i="17" s="1"/>
  <c r="G337" i="17" a="1"/>
  <c r="G337" i="17" s="1"/>
  <c r="G338" i="17" a="1"/>
  <c r="G338" i="17" s="1"/>
  <c r="G339" i="17" a="1"/>
  <c r="G339" i="17" s="1"/>
  <c r="G340" i="17" a="1"/>
  <c r="G340" i="17"/>
  <c r="G341" i="17" a="1"/>
  <c r="G341" i="17" s="1"/>
  <c r="G342" i="17" a="1"/>
  <c r="G342" i="17" s="1"/>
  <c r="G343" i="17" a="1"/>
  <c r="G343" i="17" s="1"/>
  <c r="G344" i="17" a="1"/>
  <c r="G344" i="17" s="1"/>
  <c r="G345" i="17" a="1"/>
  <c r="G345" i="17" s="1"/>
  <c r="G346" i="17" a="1"/>
  <c r="G346" i="17" s="1"/>
  <c r="G347" i="17" a="1"/>
  <c r="G347" i="17" s="1"/>
  <c r="G348" i="17" a="1"/>
  <c r="G348" i="17" s="1"/>
  <c r="G349" i="17" a="1"/>
  <c r="G349" i="17" s="1"/>
  <c r="G350" i="17" a="1"/>
  <c r="G350" i="17" s="1"/>
  <c r="G351" i="17" a="1"/>
  <c r="G351" i="17" s="1"/>
  <c r="G352" i="17" a="1"/>
  <c r="G352" i="17" s="1"/>
  <c r="G353" i="17" a="1"/>
  <c r="G353" i="17" s="1"/>
  <c r="G354" i="17" a="1"/>
  <c r="G354" i="17" s="1"/>
  <c r="G355" i="17" a="1"/>
  <c r="G355" i="17" s="1"/>
  <c r="G356" i="17" a="1"/>
  <c r="G356" i="17"/>
  <c r="G357" i="17" a="1"/>
  <c r="G357" i="17" s="1"/>
  <c r="G358" i="17" a="1"/>
  <c r="G358" i="17" s="1"/>
  <c r="G359" i="17" a="1"/>
  <c r="G359" i="17"/>
  <c r="G360" i="17" a="1"/>
  <c r="G360" i="17" s="1"/>
  <c r="G361" i="17" a="1"/>
  <c r="G361" i="17" s="1"/>
  <c r="G362" i="17" a="1"/>
  <c r="G362" i="17" s="1"/>
  <c r="G363" i="17" a="1"/>
  <c r="G363" i="17" s="1"/>
  <c r="G364" i="17" a="1"/>
  <c r="G364" i="17" s="1"/>
  <c r="G365" i="17" a="1"/>
  <c r="G365" i="17" s="1"/>
  <c r="G366" i="17" a="1"/>
  <c r="G366" i="17" s="1"/>
  <c r="G367" i="17" a="1"/>
  <c r="G367" i="17" s="1"/>
  <c r="G368" i="17" a="1"/>
  <c r="G368" i="17" s="1"/>
  <c r="G369" i="17" a="1"/>
  <c r="G369" i="17" s="1"/>
  <c r="G370" i="17" a="1"/>
  <c r="G370" i="17" s="1"/>
  <c r="G371" i="17" a="1"/>
  <c r="G371" i="17"/>
  <c r="G372" i="17" a="1"/>
  <c r="G372" i="17" s="1"/>
  <c r="G373" i="17" a="1"/>
  <c r="G373" i="17" s="1"/>
  <c r="G374" i="17" a="1"/>
  <c r="G374" i="17" s="1"/>
  <c r="G375" i="17" a="1"/>
  <c r="G375" i="17" s="1"/>
  <c r="G376" i="17" a="1"/>
  <c r="G376" i="17" s="1"/>
  <c r="G377" i="17" a="1"/>
  <c r="G377" i="17" s="1"/>
  <c r="G378" i="17" a="1"/>
  <c r="G378" i="17" s="1"/>
  <c r="G379" i="17" a="1"/>
  <c r="G379" i="17"/>
  <c r="G380" i="17" a="1"/>
  <c r="G380" i="17" s="1"/>
  <c r="G381" i="17" a="1"/>
  <c r="G381" i="17" s="1"/>
  <c r="G382" i="17" a="1"/>
  <c r="G382" i="17" s="1"/>
  <c r="G383" i="17" a="1"/>
  <c r="G383" i="17" s="1"/>
  <c r="G384" i="17" a="1"/>
  <c r="G384" i="17" s="1"/>
  <c r="G385" i="17" a="1"/>
  <c r="G385" i="17" s="1"/>
  <c r="G386" i="17" a="1"/>
  <c r="G386" i="17" s="1"/>
  <c r="G387" i="17" a="1"/>
  <c r="G387" i="17" s="1"/>
  <c r="G388" i="17" a="1"/>
  <c r="G388" i="17"/>
  <c r="G389" i="17" a="1"/>
  <c r="G389" i="17" s="1"/>
  <c r="G390" i="17" a="1"/>
  <c r="G390" i="17"/>
  <c r="G391" i="17" a="1"/>
  <c r="G391" i="17" s="1"/>
  <c r="G392" i="17" a="1"/>
  <c r="G392" i="17" s="1"/>
  <c r="G393" i="17" a="1"/>
  <c r="G393" i="17" s="1"/>
  <c r="G394" i="17" a="1"/>
  <c r="G394" i="17"/>
  <c r="G395" i="17" a="1"/>
  <c r="G395" i="17" s="1"/>
  <c r="G396" i="17" a="1"/>
  <c r="G396" i="17" s="1"/>
  <c r="G397" i="17" a="1"/>
  <c r="G397" i="17"/>
  <c r="G398" i="17" a="1"/>
  <c r="G398" i="17" s="1"/>
  <c r="G399" i="17" a="1"/>
  <c r="G399" i="17" s="1"/>
  <c r="G400" i="17" a="1"/>
  <c r="G400" i="17" s="1"/>
  <c r="G401" i="17" a="1"/>
  <c r="G401" i="17" s="1"/>
  <c r="G402" i="17" a="1"/>
  <c r="G402" i="17" s="1"/>
  <c r="G403" i="17" a="1"/>
  <c r="G403" i="17" s="1"/>
  <c r="G404" i="17" a="1"/>
  <c r="G404" i="17" s="1"/>
  <c r="G405" i="17" a="1"/>
  <c r="G405" i="17" s="1"/>
  <c r="G406" i="17" a="1"/>
  <c r="G406" i="17" s="1"/>
  <c r="G407" i="17" a="1"/>
  <c r="G407" i="17"/>
  <c r="G408" i="17" a="1"/>
  <c r="G408" i="17" s="1"/>
  <c r="G409" i="17" a="1"/>
  <c r="G409" i="17" s="1"/>
  <c r="G410" i="17" a="1"/>
  <c r="G410" i="17"/>
  <c r="G411" i="17" a="1"/>
  <c r="G411" i="17" s="1"/>
  <c r="G412" i="17" a="1"/>
  <c r="G412" i="17" s="1"/>
  <c r="G413" i="17" a="1"/>
  <c r="G413" i="17"/>
  <c r="G414" i="17" a="1"/>
  <c r="G414" i="17" s="1"/>
  <c r="G415" i="17" a="1"/>
  <c r="G415" i="17" s="1"/>
  <c r="G416" i="17" a="1"/>
  <c r="G416" i="17" s="1"/>
  <c r="G417" i="17" a="1"/>
  <c r="G417" i="17" s="1"/>
  <c r="G418" i="17" a="1"/>
  <c r="G418" i="17" s="1"/>
  <c r="G419" i="17" a="1"/>
  <c r="G419" i="17" s="1"/>
  <c r="G420" i="17" a="1"/>
  <c r="G420" i="17" s="1"/>
  <c r="G421" i="17" a="1"/>
  <c r="G421" i="17" s="1"/>
  <c r="G422" i="17" a="1"/>
  <c r="G422" i="17" s="1"/>
  <c r="G423" i="17" a="1"/>
  <c r="G423" i="17" s="1"/>
  <c r="G424" i="17" a="1"/>
  <c r="G424" i="17" s="1"/>
  <c r="G425" i="17" a="1"/>
  <c r="G425" i="17" s="1"/>
  <c r="G426" i="17" a="1"/>
  <c r="G426" i="17" s="1"/>
  <c r="G427" i="17" a="1"/>
  <c r="G427" i="17" s="1"/>
  <c r="G428" i="17" a="1"/>
  <c r="G428" i="17" s="1"/>
  <c r="G429" i="17" a="1"/>
  <c r="G429" i="17" s="1"/>
  <c r="G430" i="17" a="1"/>
  <c r="G430" i="17" s="1"/>
  <c r="G431" i="17" a="1"/>
  <c r="G431" i="17" s="1"/>
  <c r="G432" i="17" a="1"/>
  <c r="G432" i="17" s="1"/>
  <c r="G433" i="17" a="1"/>
  <c r="G433" i="17" s="1"/>
  <c r="G434" i="17" a="1"/>
  <c r="G434" i="17" s="1"/>
  <c r="G435" i="17" a="1"/>
  <c r="G435" i="17" s="1"/>
  <c r="G436" i="17" a="1"/>
  <c r="G436" i="17" s="1"/>
  <c r="G437" i="17" a="1"/>
  <c r="G437" i="17" s="1"/>
  <c r="G438" i="17" a="1"/>
  <c r="G438" i="17" s="1"/>
  <c r="G439" i="17" a="1"/>
  <c r="G439" i="17" s="1"/>
  <c r="G440" i="17" a="1"/>
  <c r="G440" i="17" s="1"/>
  <c r="G441" i="17" a="1"/>
  <c r="G441" i="17" s="1"/>
  <c r="G442" i="17" a="1"/>
  <c r="G442" i="17" s="1"/>
  <c r="G443" i="17" a="1"/>
  <c r="G443" i="17" s="1"/>
  <c r="G444" i="17" a="1"/>
  <c r="G444" i="17" s="1"/>
  <c r="G445" i="17" a="1"/>
  <c r="G445" i="17" s="1"/>
  <c r="G446" i="17" a="1"/>
  <c r="G446" i="17" s="1"/>
  <c r="G447" i="17" a="1"/>
  <c r="G447" i="17" s="1"/>
  <c r="G448" i="17" a="1"/>
  <c r="G448" i="17" s="1"/>
  <c r="G449" i="17" a="1"/>
  <c r="G449" i="17" s="1"/>
  <c r="G450" i="17" a="1"/>
  <c r="G450" i="17" s="1"/>
  <c r="G451" i="17" a="1"/>
  <c r="G451" i="17" s="1"/>
  <c r="G452" i="17" a="1"/>
  <c r="G452" i="17"/>
  <c r="G453" i="17" a="1"/>
  <c r="G453" i="17" s="1"/>
  <c r="G454" i="17" a="1"/>
  <c r="G454" i="17" s="1"/>
  <c r="G455" i="17" a="1"/>
  <c r="G455" i="17" s="1"/>
  <c r="G456" i="17" a="1"/>
  <c r="G456" i="17" s="1"/>
  <c r="G457" i="17" a="1"/>
  <c r="G457" i="17" s="1"/>
  <c r="G458" i="17" a="1"/>
  <c r="G458" i="17" s="1"/>
  <c r="G459" i="17" a="1"/>
  <c r="G459" i="17" s="1"/>
  <c r="G460" i="17" a="1"/>
  <c r="G460" i="17" s="1"/>
  <c r="G461" i="17" a="1"/>
  <c r="G461" i="17" s="1"/>
  <c r="G462" i="17" a="1"/>
  <c r="G462" i="17"/>
  <c r="G463" i="17" a="1"/>
  <c r="G463" i="17" s="1"/>
  <c r="G464" i="17" a="1"/>
  <c r="G464" i="17" s="1"/>
  <c r="G465" i="17" a="1"/>
  <c r="G465" i="17" s="1"/>
  <c r="G466" i="17" a="1"/>
  <c r="G466" i="17" s="1"/>
  <c r="G467" i="17" a="1"/>
  <c r="G467" i="17"/>
  <c r="G468" i="17" a="1"/>
  <c r="G468" i="17" s="1"/>
  <c r="G469" i="17" a="1"/>
  <c r="G469" i="17" s="1"/>
  <c r="G470" i="17" a="1"/>
  <c r="G470" i="17" s="1"/>
  <c r="G471" i="17" a="1"/>
  <c r="G471" i="17" s="1"/>
  <c r="G472" i="17" a="1"/>
  <c r="G472" i="17" s="1"/>
  <c r="G473" i="17" a="1"/>
  <c r="G473" i="17"/>
  <c r="G474" i="17" a="1"/>
  <c r="G474" i="17" s="1"/>
  <c r="G475" i="17" a="1"/>
  <c r="G475" i="17"/>
  <c r="G476" i="17" a="1"/>
  <c r="G476" i="17" s="1"/>
  <c r="G477" i="17" a="1"/>
  <c r="G477" i="17" s="1"/>
  <c r="G478" i="17" a="1"/>
  <c r="G478" i="17" s="1"/>
  <c r="G479" i="17" a="1"/>
  <c r="G479" i="17" s="1"/>
  <c r="G480" i="17" a="1"/>
  <c r="G480" i="17"/>
  <c r="G481" i="17" a="1"/>
  <c r="G481" i="17" s="1"/>
  <c r="G482" i="17" a="1"/>
  <c r="G482" i="17"/>
  <c r="G483" i="17" a="1"/>
  <c r="G483" i="17" s="1"/>
  <c r="G484" i="17" a="1"/>
  <c r="G484" i="17" s="1"/>
  <c r="G485" i="17" a="1"/>
  <c r="G485" i="17" s="1"/>
  <c r="G486" i="17" a="1"/>
  <c r="G486" i="17" s="1"/>
  <c r="G487" i="17" a="1"/>
  <c r="G487" i="17" s="1"/>
  <c r="G488" i="17" a="1"/>
  <c r="G488" i="17" s="1"/>
  <c r="G489" i="17" a="1"/>
  <c r="G489" i="17" s="1"/>
  <c r="G490" i="17" a="1"/>
  <c r="G490" i="17" s="1"/>
  <c r="G491" i="17" a="1"/>
  <c r="G491" i="17" s="1"/>
  <c r="G492" i="17" a="1"/>
  <c r="G492" i="17" s="1"/>
  <c r="G493" i="17" a="1"/>
  <c r="G493" i="17" s="1"/>
  <c r="G494" i="17" a="1"/>
  <c r="G494" i="17" s="1"/>
  <c r="G495" i="17" a="1"/>
  <c r="G495" i="17" s="1"/>
  <c r="G496" i="17" a="1"/>
  <c r="G496" i="17" s="1"/>
  <c r="G497" i="17" a="1"/>
  <c r="G497" i="17" s="1"/>
  <c r="G498" i="17" a="1"/>
  <c r="G498" i="17" s="1"/>
  <c r="G499" i="17" a="1"/>
  <c r="G499" i="17" s="1"/>
  <c r="G500" i="17" a="1"/>
  <c r="G500" i="17" s="1"/>
  <c r="G501" i="17" a="1"/>
  <c r="G501" i="17" s="1"/>
  <c r="G502" i="17" a="1"/>
  <c r="G502" i="17" s="1"/>
  <c r="G503" i="17" a="1"/>
  <c r="G503" i="17" s="1"/>
  <c r="G504" i="17" a="1"/>
  <c r="G504" i="17" s="1"/>
  <c r="G505" i="17" a="1"/>
  <c r="G505" i="17" s="1"/>
  <c r="G506" i="17" a="1"/>
  <c r="G506" i="17" s="1"/>
  <c r="G507" i="17" a="1"/>
  <c r="G507" i="17" s="1"/>
  <c r="G508" i="17" a="1"/>
  <c r="G508" i="17" s="1"/>
  <c r="G509" i="17" a="1"/>
  <c r="G509" i="17" s="1"/>
  <c r="G510" i="17" a="1"/>
  <c r="G510" i="17" s="1"/>
  <c r="G511" i="17" a="1"/>
  <c r="G511" i="17" s="1"/>
  <c r="G512" i="17" a="1"/>
  <c r="G512" i="17" s="1"/>
  <c r="G513" i="17" a="1"/>
  <c r="G513" i="17" s="1"/>
  <c r="G514" i="17" a="1"/>
  <c r="G514" i="17"/>
  <c r="G515" i="17" a="1"/>
  <c r="G515" i="17" s="1"/>
  <c r="G516" i="17" a="1"/>
  <c r="G516" i="17" s="1"/>
  <c r="G517" i="17" a="1"/>
  <c r="G517" i="17" s="1"/>
  <c r="G518" i="17" a="1"/>
  <c r="G518" i="17" s="1"/>
  <c r="G519" i="17" a="1"/>
  <c r="G519" i="17" s="1"/>
  <c r="G520" i="17" a="1"/>
  <c r="G520" i="17" s="1"/>
  <c r="G521" i="17" a="1"/>
  <c r="G521" i="17" s="1"/>
  <c r="G522" i="17" a="1"/>
  <c r="G522" i="17"/>
  <c r="G523" i="17" a="1"/>
  <c r="G523" i="17" s="1"/>
  <c r="G524" i="17" a="1"/>
  <c r="G524" i="17" s="1"/>
  <c r="G525" i="17" a="1"/>
  <c r="G525" i="17" s="1"/>
  <c r="G526" i="17" a="1"/>
  <c r="G526" i="17" s="1"/>
  <c r="G527" i="17" a="1"/>
  <c r="G527" i="17" s="1"/>
  <c r="G528" i="17" a="1"/>
  <c r="G528" i="17" s="1"/>
  <c r="G529" i="17" a="1"/>
  <c r="G529" i="17" s="1"/>
  <c r="G530" i="17" a="1"/>
  <c r="G530" i="17" s="1"/>
  <c r="G531" i="17" a="1"/>
  <c r="G531" i="17" s="1"/>
  <c r="G532" i="17" a="1"/>
  <c r="G532" i="17" s="1"/>
  <c r="G533" i="17" a="1"/>
  <c r="G533" i="17"/>
  <c r="G534" i="17" a="1"/>
  <c r="G534" i="17" s="1"/>
  <c r="G535" i="17" a="1"/>
  <c r="G535" i="17" s="1"/>
  <c r="G536" i="17" a="1"/>
  <c r="G536" i="17" s="1"/>
  <c r="G537" i="17" a="1"/>
  <c r="G537" i="17" s="1"/>
  <c r="G538" i="17" a="1"/>
  <c r="G538" i="17"/>
  <c r="G539" i="17" a="1"/>
  <c r="G539" i="17" s="1"/>
  <c r="G540" i="17" a="1"/>
  <c r="G540" i="17" s="1"/>
  <c r="G541" i="17" a="1"/>
  <c r="G541" i="17" s="1"/>
  <c r="G542" i="17" a="1"/>
  <c r="G542" i="17" s="1"/>
  <c r="G543" i="17" a="1"/>
  <c r="G543" i="17" s="1"/>
  <c r="G544" i="17" a="1"/>
  <c r="G544" i="17" s="1"/>
  <c r="G545" i="17" a="1"/>
  <c r="G545" i="17" s="1"/>
  <c r="G546" i="17" a="1"/>
  <c r="G546" i="17" s="1"/>
  <c r="G547" i="17" a="1"/>
  <c r="G547" i="17" s="1"/>
  <c r="G548" i="17" a="1"/>
  <c r="G548" i="17" s="1"/>
  <c r="G549" i="17" a="1"/>
  <c r="G549" i="17" s="1"/>
  <c r="G550" i="17" a="1"/>
  <c r="G550" i="17" s="1"/>
  <c r="G551" i="17" a="1"/>
  <c r="G551" i="17" s="1"/>
  <c r="G552" i="17" a="1"/>
  <c r="G552" i="17"/>
  <c r="G553" i="17" a="1"/>
  <c r="G553" i="17" s="1"/>
  <c r="G554" i="17" a="1"/>
  <c r="G554" i="17" s="1"/>
  <c r="G555" i="17" a="1"/>
  <c r="G555" i="17" s="1"/>
  <c r="G556" i="17" a="1"/>
  <c r="G556" i="17" s="1"/>
  <c r="G557" i="17" a="1"/>
  <c r="G557" i="17" s="1"/>
  <c r="G558" i="17" a="1"/>
  <c r="G558" i="17" s="1"/>
  <c r="G559" i="17" a="1"/>
  <c r="G559" i="17" s="1"/>
  <c r="G560" i="17" a="1"/>
  <c r="G560" i="17" s="1"/>
  <c r="G561" i="17" a="1"/>
  <c r="G561" i="17" s="1"/>
  <c r="G562" i="17" a="1"/>
  <c r="G562" i="17" s="1"/>
  <c r="G563" i="17" a="1"/>
  <c r="G563" i="17" s="1"/>
  <c r="G564" i="17" a="1"/>
  <c r="G564" i="17" s="1"/>
  <c r="G565" i="17" a="1"/>
  <c r="G565" i="17" s="1"/>
  <c r="G566" i="17" a="1"/>
  <c r="G566" i="17" s="1"/>
  <c r="G567" i="17" a="1"/>
  <c r="G567" i="17" s="1"/>
  <c r="G568" i="17" a="1"/>
  <c r="G568" i="17" s="1"/>
  <c r="G569" i="17" a="1"/>
  <c r="G569" i="17" s="1"/>
  <c r="G570" i="17" a="1"/>
  <c r="G570" i="17" s="1"/>
  <c r="G571" i="17" a="1"/>
  <c r="G571" i="17" s="1"/>
  <c r="G572" i="17" a="1"/>
  <c r="G572" i="17" s="1"/>
  <c r="G573" i="17" a="1"/>
  <c r="G573" i="17" s="1"/>
  <c r="G574" i="17" a="1"/>
  <c r="G574" i="17" s="1"/>
  <c r="G575" i="17" a="1"/>
  <c r="G575" i="17" s="1"/>
  <c r="G576" i="17" a="1"/>
  <c r="G576" i="17" s="1"/>
  <c r="G577" i="17" a="1"/>
  <c r="G577" i="17" s="1"/>
  <c r="G578" i="17" a="1"/>
  <c r="G578" i="17" s="1"/>
  <c r="G579" i="17" a="1"/>
  <c r="G579" i="17" s="1"/>
  <c r="G580" i="17" a="1"/>
  <c r="G580" i="17" s="1"/>
  <c r="G581" i="17" a="1"/>
  <c r="G581" i="17" s="1"/>
  <c r="G582" i="17" a="1"/>
  <c r="G582" i="17" s="1"/>
  <c r="G583" i="17" a="1"/>
  <c r="G583" i="17" s="1"/>
  <c r="G584" i="17" a="1"/>
  <c r="G584" i="17" s="1"/>
  <c r="G585" i="17" a="1"/>
  <c r="G585" i="17" s="1"/>
  <c r="G586" i="17" a="1"/>
  <c r="G586" i="17"/>
  <c r="G587" i="17" a="1"/>
  <c r="G587" i="17"/>
  <c r="G588" i="17" a="1"/>
  <c r="G588" i="17" s="1"/>
  <c r="G589" i="17" a="1"/>
  <c r="G589" i="17" s="1"/>
  <c r="G590" i="17" a="1"/>
  <c r="G590" i="17" s="1"/>
  <c r="G591" i="17" a="1"/>
  <c r="G591" i="17" s="1"/>
  <c r="G592" i="17" a="1"/>
  <c r="G592" i="17" s="1"/>
  <c r="G593" i="17" a="1"/>
  <c r="G593" i="17" s="1"/>
  <c r="G594" i="17" a="1"/>
  <c r="G594" i="17" s="1"/>
  <c r="G595" i="17" a="1"/>
  <c r="G595" i="17" s="1"/>
  <c r="G596" i="17" a="1"/>
  <c r="G596" i="17" s="1"/>
  <c r="G597" i="17" a="1"/>
  <c r="G597" i="17" s="1"/>
  <c r="G598" i="17" a="1"/>
  <c r="G598" i="17" s="1"/>
  <c r="G599" i="17" a="1"/>
  <c r="G599" i="17" s="1"/>
  <c r="G600" i="17" a="1"/>
  <c r="G600" i="17" s="1"/>
  <c r="G601" i="17" a="1"/>
  <c r="G601" i="17" s="1"/>
  <c r="G602" i="17" a="1"/>
  <c r="G602" i="17" s="1"/>
  <c r="G603" i="17" a="1"/>
  <c r="G603" i="17" s="1"/>
  <c r="G604" i="17" a="1"/>
  <c r="G604" i="17" s="1"/>
  <c r="G605" i="17" a="1"/>
  <c r="G605" i="17"/>
  <c r="G606" i="17" a="1"/>
  <c r="G606" i="17" s="1"/>
  <c r="G607" i="17" a="1"/>
  <c r="G607" i="17" s="1"/>
  <c r="G608" i="17" a="1"/>
  <c r="G608" i="17" s="1"/>
  <c r="G609" i="17" a="1"/>
  <c r="G609" i="17" s="1"/>
  <c r="G610" i="17" a="1"/>
  <c r="G610" i="17"/>
  <c r="G611" i="17" a="1"/>
  <c r="G611" i="17" s="1"/>
  <c r="G612" i="17" a="1"/>
  <c r="G612" i="17" s="1"/>
  <c r="G613" i="17" a="1"/>
  <c r="G613" i="17" s="1"/>
  <c r="G614" i="17" a="1"/>
  <c r="G614" i="17" s="1"/>
  <c r="G615" i="17" a="1"/>
  <c r="G615" i="17" s="1"/>
  <c r="G616" i="17" a="1"/>
  <c r="G616" i="17" s="1"/>
  <c r="G617" i="17" a="1"/>
  <c r="G617" i="17"/>
  <c r="G618" i="17" a="1"/>
  <c r="G618" i="17" s="1"/>
  <c r="G619" i="17" a="1"/>
  <c r="G619" i="17"/>
  <c r="G620" i="17" a="1"/>
  <c r="G620" i="17" s="1"/>
  <c r="G621" i="17" a="1"/>
  <c r="G621" i="17" s="1"/>
  <c r="G622" i="17" a="1"/>
  <c r="G622" i="17" s="1"/>
  <c r="G623" i="17" a="1"/>
  <c r="G623" i="17" s="1"/>
  <c r="G624" i="17" a="1"/>
  <c r="G624" i="17"/>
  <c r="G625" i="17" a="1"/>
  <c r="G625" i="17"/>
  <c r="G626" i="17" a="1"/>
  <c r="G626" i="17" s="1"/>
  <c r="G627" i="17" a="1"/>
  <c r="G627" i="17" s="1"/>
  <c r="G628" i="17" a="1"/>
  <c r="G628" i="17" s="1"/>
  <c r="G629" i="17" a="1"/>
  <c r="G629" i="17" s="1"/>
  <c r="G630" i="17" a="1"/>
  <c r="G630" i="17" s="1"/>
  <c r="G631" i="17" a="1"/>
  <c r="G631" i="17" s="1"/>
  <c r="G632" i="17" a="1"/>
  <c r="G632" i="17" s="1"/>
  <c r="G633" i="17" a="1"/>
  <c r="G633" i="17" s="1"/>
  <c r="G634" i="17" a="1"/>
  <c r="G634" i="17" s="1"/>
  <c r="G635" i="17" a="1"/>
  <c r="G635" i="17" s="1"/>
  <c r="G636" i="17" a="1"/>
  <c r="G636" i="17" s="1"/>
  <c r="G637" i="17" a="1"/>
  <c r="G637" i="17"/>
  <c r="G638" i="17" a="1"/>
  <c r="G638" i="17" s="1"/>
  <c r="G639" i="17" a="1"/>
  <c r="G639" i="17" s="1"/>
  <c r="G640" i="17" a="1"/>
  <c r="G640" i="17"/>
  <c r="G641" i="17" a="1"/>
  <c r="G641" i="17" s="1"/>
  <c r="G642" i="17" a="1"/>
  <c r="G642" i="17" s="1"/>
  <c r="G643" i="17" a="1"/>
  <c r="G643" i="17" s="1"/>
  <c r="G644" i="17" a="1"/>
  <c r="G644" i="17" s="1"/>
  <c r="G645" i="17" a="1"/>
  <c r="G645" i="17" s="1"/>
  <c r="G646" i="17" a="1"/>
  <c r="G646" i="17" s="1"/>
  <c r="G647" i="17" a="1"/>
  <c r="G647" i="17" s="1"/>
  <c r="G648" i="17" a="1"/>
  <c r="G648" i="17" s="1"/>
  <c r="G649" i="17" a="1"/>
  <c r="G649" i="17" s="1"/>
  <c r="G650" i="17" a="1"/>
  <c r="G650" i="17" s="1"/>
  <c r="G651" i="17" a="1"/>
  <c r="G651" i="17" s="1"/>
  <c r="G652" i="17" a="1"/>
  <c r="G652" i="17"/>
  <c r="G653" i="17" a="1"/>
  <c r="G653" i="17" s="1"/>
  <c r="G654" i="17" a="1"/>
  <c r="G654" i="17" s="1"/>
  <c r="G655" i="17" a="1"/>
  <c r="G655" i="17"/>
  <c r="G656" i="17" a="1"/>
  <c r="G656" i="17" s="1"/>
  <c r="G657" i="17" a="1"/>
  <c r="G657" i="17" s="1"/>
  <c r="G658" i="17" a="1"/>
  <c r="G658" i="17"/>
  <c r="G659" i="17" a="1"/>
  <c r="G659" i="17"/>
  <c r="G660" i="17" a="1"/>
  <c r="G660" i="17" s="1"/>
  <c r="G661" i="17" a="1"/>
  <c r="G661" i="17" s="1"/>
  <c r="G662" i="17" a="1"/>
  <c r="G662" i="17" s="1"/>
  <c r="G663" i="17" a="1"/>
  <c r="G663" i="17" s="1"/>
  <c r="G664" i="17" a="1"/>
  <c r="G664" i="17" s="1"/>
  <c r="G665" i="17" a="1"/>
  <c r="G665" i="17"/>
  <c r="G666" i="17" a="1"/>
  <c r="G666" i="17"/>
  <c r="G667" i="17" a="1"/>
  <c r="G667" i="17"/>
  <c r="G668" i="17" a="1"/>
  <c r="G668" i="17" s="1"/>
  <c r="G669" i="17" a="1"/>
  <c r="G669" i="17" s="1"/>
  <c r="G670" i="17" a="1"/>
  <c r="G670" i="17" s="1"/>
  <c r="G671" i="17" a="1"/>
  <c r="G671" i="17" s="1"/>
  <c r="G672" i="17" a="1"/>
  <c r="G672" i="17"/>
  <c r="G673" i="17" a="1"/>
  <c r="G673" i="17" s="1"/>
  <c r="G674" i="17" a="1"/>
  <c r="G674" i="17" s="1"/>
  <c r="G675" i="17" a="1"/>
  <c r="G675" i="17" s="1"/>
  <c r="G676" i="17" a="1"/>
  <c r="G676" i="17" s="1"/>
  <c r="G677" i="17" a="1"/>
  <c r="G677" i="17"/>
  <c r="G678" i="17" a="1"/>
  <c r="G678" i="17" s="1"/>
  <c r="G679" i="17" a="1"/>
  <c r="G679" i="17" s="1"/>
  <c r="G680" i="17" a="1"/>
  <c r="G680" i="17" s="1"/>
  <c r="G681" i="17" a="1"/>
  <c r="G681" i="17" s="1"/>
  <c r="G682" i="17" a="1"/>
  <c r="G682" i="17" s="1"/>
  <c r="G683" i="17" a="1"/>
  <c r="G683" i="17" s="1"/>
  <c r="G684" i="17" a="1"/>
  <c r="G684" i="17" s="1"/>
  <c r="G685" i="17" a="1"/>
  <c r="G685" i="17"/>
  <c r="G686" i="17" a="1"/>
  <c r="G686" i="17"/>
  <c r="G687" i="17" a="1"/>
  <c r="G687" i="17" s="1"/>
  <c r="G688" i="17" a="1"/>
  <c r="G688" i="17" s="1"/>
  <c r="G689" i="17" a="1"/>
  <c r="G689" i="17" s="1"/>
  <c r="G690" i="17" a="1"/>
  <c r="G690" i="17"/>
  <c r="G691" i="17" a="1"/>
  <c r="G691" i="17" s="1"/>
  <c r="G692" i="17" a="1"/>
  <c r="G692" i="17"/>
  <c r="G693" i="17" a="1"/>
  <c r="G693" i="17" s="1"/>
  <c r="G694" i="17" a="1"/>
  <c r="G694" i="17" s="1"/>
  <c r="G695" i="17" a="1"/>
  <c r="G695" i="17" s="1"/>
  <c r="G696" i="17" a="1"/>
  <c r="G696" i="17" s="1"/>
  <c r="G697" i="17" a="1"/>
  <c r="G697" i="17" s="1"/>
  <c r="G698" i="17" a="1"/>
  <c r="G698" i="17" s="1"/>
  <c r="G699" i="17" a="1"/>
  <c r="G699" i="17" s="1"/>
  <c r="G700" i="17" a="1"/>
  <c r="G700" i="17"/>
  <c r="G701" i="17" a="1"/>
  <c r="G701" i="17"/>
  <c r="G702" i="17" a="1"/>
  <c r="G702" i="17" s="1"/>
  <c r="G703" i="17" a="1"/>
  <c r="G703" i="17" s="1"/>
  <c r="G704" i="17" a="1"/>
  <c r="G704" i="17" s="1"/>
  <c r="G705" i="17" a="1"/>
  <c r="G705" i="17" s="1"/>
  <c r="G706" i="17" a="1"/>
  <c r="G706" i="17" s="1"/>
  <c r="G707" i="17" a="1"/>
  <c r="G707" i="17" s="1"/>
  <c r="G708" i="17" a="1"/>
  <c r="G708" i="17" s="1"/>
  <c r="G709" i="17" a="1"/>
  <c r="G709" i="17" s="1"/>
  <c r="G710" i="17" a="1"/>
  <c r="G710" i="17" s="1"/>
  <c r="G711" i="17" a="1"/>
  <c r="G711" i="17" s="1"/>
  <c r="G712" i="17" a="1"/>
  <c r="G712" i="17" s="1"/>
  <c r="G713" i="17" a="1"/>
  <c r="G713" i="17" s="1"/>
  <c r="G714" i="17" a="1"/>
  <c r="G714" i="17" s="1"/>
  <c r="G715" i="17" a="1"/>
  <c r="G715" i="17" s="1"/>
  <c r="G716" i="17" a="1"/>
  <c r="G716" i="17"/>
  <c r="G717" i="17" a="1"/>
  <c r="G717" i="17" s="1"/>
  <c r="G718" i="17" a="1"/>
  <c r="G718" i="17" s="1"/>
  <c r="G719" i="17" a="1"/>
  <c r="G719" i="17"/>
  <c r="G720" i="17" a="1"/>
  <c r="G720" i="17" s="1"/>
  <c r="G721" i="17" a="1"/>
  <c r="G721" i="17" s="1"/>
  <c r="G722" i="17" a="1"/>
  <c r="G722" i="17" s="1"/>
  <c r="G723" i="17" a="1"/>
  <c r="G723" i="17" s="1"/>
  <c r="G724" i="17" a="1"/>
  <c r="G724" i="17" s="1"/>
  <c r="G725" i="17" a="1"/>
  <c r="G725" i="17" s="1"/>
  <c r="G726" i="17" a="1"/>
  <c r="G726" i="17" s="1"/>
  <c r="G727" i="17" a="1"/>
  <c r="G727" i="17"/>
  <c r="G728" i="17" a="1"/>
  <c r="G728" i="17" s="1"/>
  <c r="G729" i="17" a="1"/>
  <c r="G729" i="17" s="1"/>
  <c r="G730" i="17" a="1"/>
  <c r="G730" i="17" s="1"/>
  <c r="G731" i="17" a="1"/>
  <c r="G731" i="17"/>
  <c r="G732" i="17" a="1"/>
  <c r="G732" i="17" s="1"/>
  <c r="G733" i="17" a="1"/>
  <c r="G733" i="17" s="1"/>
  <c r="G734" i="17" a="1"/>
  <c r="G734" i="17"/>
  <c r="G735" i="17" a="1"/>
  <c r="G735" i="17" s="1"/>
  <c r="G736" i="17" a="1"/>
  <c r="G736" i="17"/>
  <c r="G737" i="17" a="1"/>
  <c r="G737" i="17" s="1"/>
  <c r="G738" i="17" a="1"/>
  <c r="G738" i="17"/>
  <c r="G739" i="17" a="1"/>
  <c r="G739" i="17" s="1"/>
  <c r="G740" i="17" a="1"/>
  <c r="G740" i="17" s="1"/>
  <c r="G741" i="17" a="1"/>
  <c r="G741" i="17" s="1"/>
  <c r="G742" i="17" a="1"/>
  <c r="G742" i="17" s="1"/>
  <c r="G743" i="17" a="1"/>
  <c r="G743" i="17" s="1"/>
  <c r="G744" i="17" a="1"/>
  <c r="G744" i="17" s="1"/>
  <c r="G745" i="17" a="1"/>
  <c r="G745" i="17" s="1"/>
  <c r="G746" i="17" a="1"/>
  <c r="G746" i="17" s="1"/>
  <c r="G747" i="17" a="1"/>
  <c r="G747" i="17" s="1"/>
  <c r="G748" i="17" a="1"/>
  <c r="G748" i="17"/>
  <c r="G749" i="17" a="1"/>
  <c r="G749" i="17"/>
  <c r="G750" i="17" a="1"/>
  <c r="G750" i="17" s="1"/>
  <c r="G751" i="17" a="1"/>
  <c r="G751" i="17" s="1"/>
  <c r="G752" i="17" a="1"/>
  <c r="G752" i="17" s="1"/>
  <c r="G753" i="17" a="1"/>
  <c r="G753" i="17" s="1"/>
  <c r="G754" i="17" a="1"/>
  <c r="G754" i="17"/>
  <c r="G755" i="17" a="1"/>
  <c r="G755" i="17" s="1"/>
  <c r="G756" i="17" a="1"/>
  <c r="G756" i="17" s="1"/>
  <c r="G757" i="17" a="1"/>
  <c r="G757" i="17"/>
  <c r="G758" i="17" a="1"/>
  <c r="G758" i="17"/>
  <c r="G759" i="17" a="1"/>
  <c r="G759" i="17" s="1"/>
  <c r="G760" i="17" a="1"/>
  <c r="G760" i="17"/>
  <c r="G761" i="17" a="1"/>
  <c r="G761" i="17"/>
  <c r="G762" i="17" a="1"/>
  <c r="G762" i="17" s="1"/>
  <c r="G763" i="17" a="1"/>
  <c r="G763" i="17" s="1"/>
  <c r="G764" i="17" a="1"/>
  <c r="G764" i="17" s="1"/>
  <c r="G765" i="17" a="1"/>
  <c r="G765" i="17" s="1"/>
  <c r="G766" i="17" a="1"/>
  <c r="G766" i="17" s="1"/>
  <c r="G767" i="17" a="1"/>
  <c r="G767" i="17" s="1"/>
  <c r="G768" i="17" a="1"/>
  <c r="G768" i="17"/>
  <c r="G769" i="17" a="1"/>
  <c r="G769" i="17"/>
  <c r="G770" i="17" a="1"/>
  <c r="G770" i="17" s="1"/>
  <c r="G771" i="17" a="1"/>
  <c r="G771" i="17" s="1"/>
  <c r="G772" i="17" a="1"/>
  <c r="G772" i="17"/>
  <c r="G773" i="17" a="1"/>
  <c r="G773" i="17" s="1"/>
  <c r="G774" i="17" a="1"/>
  <c r="G774" i="17" s="1"/>
  <c r="G775" i="17" a="1"/>
  <c r="G775" i="17" s="1"/>
  <c r="G776" i="17" a="1"/>
  <c r="G776" i="17"/>
  <c r="G777" i="17" a="1"/>
  <c r="G777" i="17" s="1"/>
  <c r="G778" i="17" a="1"/>
  <c r="G778" i="17" s="1"/>
  <c r="G779" i="17" a="1"/>
  <c r="G779" i="17" s="1"/>
  <c r="G780" i="17" a="1"/>
  <c r="G780" i="17"/>
  <c r="G781" i="17" a="1"/>
  <c r="G781" i="17" s="1"/>
  <c r="G782" i="17" a="1"/>
  <c r="G782" i="17" s="1"/>
  <c r="G783" i="17" a="1"/>
  <c r="G783" i="17" s="1"/>
  <c r="G784" i="17" a="1"/>
  <c r="G784" i="17" s="1"/>
  <c r="G785" i="17" a="1"/>
  <c r="G785" i="17" s="1"/>
  <c r="G786" i="17" a="1"/>
  <c r="G786" i="17" s="1"/>
  <c r="G787" i="17" a="1"/>
  <c r="G787" i="17"/>
  <c r="G788" i="17" a="1"/>
  <c r="G788" i="17" s="1"/>
  <c r="G789" i="17" a="1"/>
  <c r="G789" i="17" s="1"/>
  <c r="G790" i="17" a="1"/>
  <c r="G790" i="17"/>
  <c r="G791" i="17" a="1"/>
  <c r="G791" i="17"/>
  <c r="G792" i="17" a="1"/>
  <c r="G792" i="17" s="1"/>
  <c r="G793" i="17" a="1"/>
  <c r="G793" i="17" s="1"/>
  <c r="G794" i="17" a="1"/>
  <c r="G794" i="17"/>
  <c r="G795" i="17" a="1"/>
  <c r="G795" i="17" s="1"/>
  <c r="G796" i="17" a="1"/>
  <c r="G796" i="17" s="1"/>
  <c r="G797" i="17" a="1"/>
  <c r="G797" i="17" s="1"/>
  <c r="G798" i="17" a="1"/>
  <c r="G798" i="17"/>
  <c r="G799" i="17" a="1"/>
  <c r="G799" i="17"/>
  <c r="G800" i="17" a="1"/>
  <c r="G800" i="17"/>
  <c r="G801" i="17" a="1"/>
  <c r="G801" i="17" s="1"/>
  <c r="G802" i="17" a="1"/>
  <c r="G802" i="17"/>
  <c r="G803" i="17" a="1"/>
  <c r="G803" i="17" s="1"/>
  <c r="G804" i="17" a="1"/>
  <c r="G804" i="17" s="1"/>
  <c r="G805" i="17" a="1"/>
  <c r="G805" i="17" s="1"/>
  <c r="G806" i="17" a="1"/>
  <c r="G806" i="17"/>
  <c r="G807" i="17" a="1"/>
  <c r="G807" i="17" s="1"/>
  <c r="G808" i="17" a="1"/>
  <c r="G808" i="17" s="1"/>
  <c r="G809" i="17" a="1"/>
  <c r="G809" i="17"/>
  <c r="G810" i="17" a="1"/>
  <c r="G810" i="17"/>
  <c r="G811" i="17" a="1"/>
  <c r="G811" i="17" s="1"/>
  <c r="G812" i="17" a="1"/>
  <c r="G812" i="17" s="1"/>
  <c r="G813" i="17" a="1"/>
  <c r="G813" i="17" s="1"/>
  <c r="G814" i="17" a="1"/>
  <c r="G814" i="17"/>
  <c r="G815" i="17" a="1"/>
  <c r="G815" i="17" s="1"/>
  <c r="G816" i="17" a="1"/>
  <c r="G816" i="17" s="1"/>
  <c r="G817" i="17" a="1"/>
  <c r="G817" i="17"/>
  <c r="G818" i="17" a="1"/>
  <c r="G818" i="17" s="1"/>
  <c r="G819" i="17" a="1"/>
  <c r="G819" i="17" s="1"/>
  <c r="G820" i="17" a="1"/>
  <c r="G820" i="17"/>
  <c r="G821" i="17" a="1"/>
  <c r="G821" i="17" s="1"/>
  <c r="G822" i="17" a="1"/>
  <c r="G822" i="17"/>
  <c r="G823" i="17" a="1"/>
  <c r="G823" i="17" s="1"/>
  <c r="G824" i="17" a="1"/>
  <c r="G824" i="17" s="1"/>
  <c r="G825" i="17" a="1"/>
  <c r="G825" i="17" s="1"/>
  <c r="G826" i="17" a="1"/>
  <c r="G826" i="17" s="1"/>
  <c r="G827" i="17" a="1"/>
  <c r="G827" i="17" s="1"/>
  <c r="G828" i="17" a="1"/>
  <c r="G828" i="17"/>
  <c r="G829" i="17" a="1"/>
  <c r="G829" i="17" s="1"/>
  <c r="G830" i="17" a="1"/>
  <c r="G830" i="17"/>
  <c r="G831" i="17" a="1"/>
  <c r="G831" i="17" s="1"/>
  <c r="G832" i="17" a="1"/>
  <c r="G832" i="17" s="1"/>
  <c r="G833" i="17" a="1"/>
  <c r="G833" i="17"/>
  <c r="G834" i="17" a="1"/>
  <c r="G834" i="17" s="1"/>
  <c r="G835" i="17" a="1"/>
  <c r="G835" i="17"/>
  <c r="G836" i="17" a="1"/>
  <c r="G836" i="17" s="1"/>
  <c r="G837" i="17" a="1"/>
  <c r="G837" i="17" s="1"/>
  <c r="G838" i="17" a="1"/>
  <c r="G838" i="17" s="1"/>
  <c r="G839" i="17" a="1"/>
  <c r="G839" i="17" s="1"/>
  <c r="G840" i="17" a="1"/>
  <c r="G840" i="17" s="1"/>
  <c r="G841" i="17" a="1"/>
  <c r="G841" i="17"/>
  <c r="G842" i="17" a="1"/>
  <c r="G842" i="17" s="1"/>
  <c r="G843" i="17" a="1"/>
  <c r="G843" i="17" s="1"/>
  <c r="G844" i="17" a="1"/>
  <c r="G844" i="17"/>
  <c r="G845" i="17" a="1"/>
  <c r="G845" i="17" s="1"/>
  <c r="G846" i="17" a="1"/>
  <c r="G846" i="17" s="1"/>
  <c r="G847" i="17" a="1"/>
  <c r="G847" i="17" s="1"/>
  <c r="G848" i="17" a="1"/>
  <c r="G848" i="17" s="1"/>
  <c r="G849" i="17" a="1"/>
  <c r="G849" i="17" s="1"/>
  <c r="G850" i="17" a="1"/>
  <c r="G850" i="17" s="1"/>
  <c r="G851" i="17" a="1"/>
  <c r="G851" i="17" s="1"/>
  <c r="G852" i="17" a="1"/>
  <c r="G852" i="17" s="1"/>
  <c r="G853" i="17" a="1"/>
  <c r="G853" i="17" s="1"/>
  <c r="G854" i="17" a="1"/>
  <c r="G854" i="17" s="1"/>
  <c r="G855" i="17" a="1"/>
  <c r="G855" i="17" s="1"/>
  <c r="G856" i="17" a="1"/>
  <c r="G856" i="17" s="1"/>
  <c r="G857" i="17" a="1"/>
  <c r="G857" i="17" s="1"/>
  <c r="G858" i="17" a="1"/>
  <c r="G858" i="17" s="1"/>
  <c r="G859" i="17" a="1"/>
  <c r="G859" i="17" s="1"/>
  <c r="G860" i="17" a="1"/>
  <c r="G860" i="17"/>
  <c r="G861" i="17" a="1"/>
  <c r="G861" i="17" s="1"/>
  <c r="G862" i="17" a="1"/>
  <c r="G862" i="17"/>
  <c r="G863" i="17" a="1"/>
  <c r="G863" i="17" s="1"/>
  <c r="G864" i="17" a="1"/>
  <c r="G864" i="17" s="1"/>
  <c r="G865" i="17" a="1"/>
  <c r="G865" i="17" s="1"/>
  <c r="G866" i="17" a="1"/>
  <c r="G866" i="17" s="1"/>
  <c r="G867" i="17" a="1"/>
  <c r="G867" i="17" s="1"/>
  <c r="G868" i="17" a="1"/>
  <c r="G868" i="17" s="1"/>
  <c r="G869" i="17" a="1"/>
  <c r="G869" i="17"/>
  <c r="G870" i="17" a="1"/>
  <c r="G870" i="17"/>
  <c r="G871" i="17" a="1"/>
  <c r="G871" i="17" s="1"/>
  <c r="G872" i="17" a="1"/>
  <c r="G872" i="17" s="1"/>
  <c r="G873" i="17" a="1"/>
  <c r="G873" i="17" s="1"/>
  <c r="G874" i="17" a="1"/>
  <c r="G874" i="17" s="1"/>
  <c r="G875" i="17" a="1"/>
  <c r="G875" i="17" s="1"/>
  <c r="G876" i="17" a="1"/>
  <c r="G876" i="17"/>
  <c r="G877" i="17" a="1"/>
  <c r="G877" i="17" s="1"/>
  <c r="G878" i="17" a="1"/>
  <c r="G878" i="17"/>
  <c r="G879" i="17" a="1"/>
  <c r="G879" i="17" s="1"/>
  <c r="G880" i="17" a="1"/>
  <c r="G880" i="17"/>
  <c r="G881" i="17" a="1"/>
  <c r="G881" i="17" s="1"/>
  <c r="G882" i="17" a="1"/>
  <c r="G882" i="17"/>
  <c r="G883" i="17" a="1"/>
  <c r="G883" i="17"/>
  <c r="G884" i="17" a="1"/>
  <c r="G884" i="17" s="1"/>
  <c r="G885" i="17" a="1"/>
  <c r="G885" i="17" s="1"/>
  <c r="G886" i="17" a="1"/>
  <c r="G886" i="17" s="1"/>
  <c r="G887" i="17" a="1"/>
  <c r="G887" i="17" s="1"/>
  <c r="G888" i="17" a="1"/>
  <c r="G888" i="17" s="1"/>
  <c r="G889" i="17" a="1"/>
  <c r="G889" i="17"/>
  <c r="G890" i="17" a="1"/>
  <c r="G890" i="17" s="1"/>
  <c r="G891" i="17" a="1"/>
  <c r="G891" i="17" s="1"/>
  <c r="G892" i="17" a="1"/>
  <c r="G892" i="17" s="1"/>
  <c r="G893" i="17" a="1"/>
  <c r="G893" i="17" s="1"/>
  <c r="G894" i="17" a="1"/>
  <c r="G894" i="17" s="1"/>
  <c r="G895" i="17" a="1"/>
  <c r="G895" i="17" s="1"/>
  <c r="G896" i="17" a="1"/>
  <c r="G896" i="17"/>
  <c r="G897" i="17" a="1"/>
  <c r="G897" i="17" s="1"/>
  <c r="G898" i="17" a="1"/>
  <c r="G898" i="17" s="1"/>
  <c r="G899" i="17" a="1"/>
  <c r="G899" i="17"/>
  <c r="G900" i="17" a="1"/>
  <c r="G900" i="17"/>
  <c r="G901" i="17" a="1"/>
  <c r="G901" i="17"/>
  <c r="G902" i="17" a="1"/>
  <c r="G902" i="17"/>
  <c r="G903" i="17" a="1"/>
  <c r="G903" i="17" s="1"/>
  <c r="G904" i="17" a="1"/>
  <c r="G904" i="17"/>
  <c r="G905" i="17" a="1"/>
  <c r="G905" i="17"/>
  <c r="G906" i="17" a="1"/>
  <c r="G906" i="17" s="1"/>
  <c r="G907" i="17" a="1"/>
  <c r="G907" i="17" s="1"/>
  <c r="G908" i="17" a="1"/>
  <c r="G908" i="17" s="1"/>
  <c r="G909" i="17" a="1"/>
  <c r="G909" i="17" s="1"/>
  <c r="G910" i="17" a="1"/>
  <c r="G910" i="17" s="1"/>
  <c r="G911" i="17" a="1"/>
  <c r="G911" i="17"/>
  <c r="G912" i="17" a="1"/>
  <c r="G912" i="17"/>
  <c r="G913" i="17" a="1"/>
  <c r="G913" i="17" s="1"/>
  <c r="G914" i="17" a="1"/>
  <c r="G914" i="17" s="1"/>
  <c r="G915" i="17" a="1"/>
  <c r="G915" i="17" s="1"/>
  <c r="G916" i="17" a="1"/>
  <c r="G916" i="17" s="1"/>
  <c r="G917" i="17" a="1"/>
  <c r="G917" i="17" s="1"/>
  <c r="G918" i="17" a="1"/>
  <c r="G918" i="17" s="1"/>
  <c r="G919" i="17" a="1"/>
  <c r="G919" i="17"/>
  <c r="G920" i="17" a="1"/>
  <c r="G920" i="17"/>
  <c r="G921" i="17" a="1"/>
  <c r="G921" i="17"/>
  <c r="G922" i="17" a="1"/>
  <c r="G922" i="17" s="1"/>
  <c r="G923" i="17" a="1"/>
  <c r="G923" i="17"/>
  <c r="G924" i="17" a="1"/>
  <c r="G924" i="17"/>
  <c r="G925" i="17" a="1"/>
  <c r="G925" i="17"/>
  <c r="G926" i="17" a="1"/>
  <c r="G926" i="17" s="1"/>
  <c r="G927" i="17" a="1"/>
  <c r="G927" i="17" s="1"/>
  <c r="G928" i="17" a="1"/>
  <c r="G928" i="17" s="1"/>
  <c r="G929" i="17" a="1"/>
  <c r="G929" i="17"/>
  <c r="G930" i="17" a="1"/>
  <c r="G930" i="17"/>
  <c r="G931" i="17" a="1"/>
  <c r="G931" i="17" s="1"/>
  <c r="G932" i="17" a="1"/>
  <c r="G932" i="17"/>
  <c r="G933" i="17" a="1"/>
  <c r="G933" i="17"/>
  <c r="G934" i="17" a="1"/>
  <c r="G934" i="17" s="1"/>
  <c r="G935" i="17" a="1"/>
  <c r="G935" i="17" s="1"/>
  <c r="G936" i="17" a="1"/>
  <c r="G936" i="17"/>
  <c r="G937" i="17" a="1"/>
  <c r="G937" i="17" s="1"/>
  <c r="G938" i="17" a="1"/>
  <c r="G938" i="17"/>
  <c r="G939" i="17" a="1"/>
  <c r="G939" i="17" s="1"/>
  <c r="G940" i="17" a="1"/>
  <c r="G940" i="17" s="1"/>
  <c r="G941" i="17" a="1"/>
  <c r="G941" i="17" s="1"/>
  <c r="G942" i="17" a="1"/>
  <c r="G942" i="17"/>
  <c r="G943" i="17" a="1"/>
  <c r="G943" i="17"/>
  <c r="G944" i="17" a="1"/>
  <c r="G944" i="17" s="1"/>
  <c r="G945" i="17" a="1"/>
  <c r="G945" i="17" s="1"/>
  <c r="G946" i="17" a="1"/>
  <c r="G946" i="17" s="1"/>
  <c r="G947" i="17" a="1"/>
  <c r="G947" i="17"/>
  <c r="G948" i="17" a="1"/>
  <c r="G948" i="17" s="1"/>
  <c r="G949" i="17" a="1"/>
  <c r="G949" i="17"/>
  <c r="G950" i="17" a="1"/>
  <c r="G950" i="17"/>
  <c r="G951" i="17" a="1"/>
  <c r="G951" i="17"/>
  <c r="G952" i="17" a="1"/>
  <c r="G952" i="17" s="1"/>
  <c r="G953" i="17" a="1"/>
  <c r="G953" i="17"/>
  <c r="G954" i="17" a="1"/>
  <c r="G954" i="17"/>
  <c r="G955" i="17" a="1"/>
  <c r="G955" i="17" s="1"/>
  <c r="G956" i="17" a="1"/>
  <c r="G956" i="17" s="1"/>
  <c r="G957" i="17" a="1"/>
  <c r="G957" i="17"/>
  <c r="G958" i="17" a="1"/>
  <c r="G958" i="17" s="1"/>
  <c r="G959" i="17" a="1"/>
  <c r="G959" i="17" s="1"/>
  <c r="G960" i="17" a="1"/>
  <c r="G960" i="17" s="1"/>
  <c r="G961" i="17" a="1"/>
  <c r="G961" i="17" s="1"/>
  <c r="G962" i="17" a="1"/>
  <c r="G962" i="17"/>
  <c r="G963" i="17" a="1"/>
  <c r="G963" i="17" s="1"/>
  <c r="G964" i="17" a="1"/>
  <c r="G964" i="17" s="1"/>
  <c r="G965" i="17" a="1"/>
  <c r="G965" i="17" s="1"/>
  <c r="G966" i="17" a="1"/>
  <c r="G966" i="17" s="1"/>
  <c r="G967" i="17" a="1"/>
  <c r="G967" i="17"/>
  <c r="G968" i="17" a="1"/>
  <c r="G968" i="17" s="1"/>
  <c r="G969" i="17" a="1"/>
  <c r="G969" i="17"/>
  <c r="G970" i="17" a="1"/>
  <c r="G970" i="17" s="1"/>
  <c r="G971" i="17" a="1"/>
  <c r="G971" i="17" s="1"/>
  <c r="G972" i="17" a="1"/>
  <c r="G972" i="17"/>
  <c r="G973" i="17" a="1"/>
  <c r="G973" i="17"/>
  <c r="G974" i="17" a="1"/>
  <c r="G974" i="17" s="1"/>
  <c r="G975" i="17" a="1"/>
  <c r="G975" i="17"/>
  <c r="G976" i="17" a="1"/>
  <c r="G976" i="17" s="1"/>
  <c r="G977" i="17" a="1"/>
  <c r="G977" i="17"/>
  <c r="G978" i="17" a="1"/>
  <c r="G978" i="17"/>
  <c r="G979" i="17" a="1"/>
  <c r="G979" i="17" s="1"/>
  <c r="G980" i="17" a="1"/>
  <c r="G980" i="17"/>
  <c r="G981" i="17" a="1"/>
  <c r="G981" i="17" s="1"/>
  <c r="G982" i="17" a="1"/>
  <c r="G982" i="17" s="1"/>
  <c r="G983" i="17" a="1"/>
  <c r="G983" i="17"/>
  <c r="G984" i="17" a="1"/>
  <c r="G984" i="17" s="1"/>
  <c r="G985" i="17" a="1"/>
  <c r="G985" i="17"/>
  <c r="G986" i="17" a="1"/>
  <c r="G986" i="17"/>
  <c r="G987" i="17" a="1"/>
  <c r="G987" i="17" s="1"/>
  <c r="G988" i="17" a="1"/>
  <c r="G988" i="17" s="1"/>
  <c r="G989" i="17" a="1"/>
  <c r="G989" i="17"/>
  <c r="G990" i="17" a="1"/>
  <c r="G990" i="17"/>
  <c r="G991" i="17" a="1"/>
  <c r="G991" i="17" s="1"/>
  <c r="G992" i="17" a="1"/>
  <c r="G992" i="17" s="1"/>
  <c r="G993" i="17" a="1"/>
  <c r="G993" i="17"/>
  <c r="G994" i="17" a="1"/>
  <c r="G994" i="17" s="1"/>
  <c r="G995" i="17" a="1"/>
  <c r="G995" i="17"/>
  <c r="G996" i="17" a="1"/>
  <c r="G996" i="17" s="1"/>
  <c r="G997" i="17" a="1"/>
  <c r="G997" i="17" s="1"/>
  <c r="G998" i="17" a="1"/>
  <c r="G998" i="17"/>
  <c r="G999" i="17" a="1"/>
  <c r="G999" i="17" s="1"/>
  <c r="G1000" i="17" a="1"/>
  <c r="G1000" i="17" s="1"/>
  <c r="G1001" i="17" a="1"/>
  <c r="G1001" i="17" s="1"/>
  <c r="G2" i="17" a="1"/>
  <c r="G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<sst xmlns="http://schemas.openxmlformats.org/spreadsheetml/2006/main" count="11132" uniqueCount="6221">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</sst>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5">
    <dxf>
      <numFmt numFmtId="0" formatCode="General"/>
    </dxf>
    <dxf>
      <numFmt numFmtId="167" formatCode="_-[$$-409]* #,##0.00_ ;_-[$$-409]* \-#,##0.00\ ;_-[$$-409]* &quot;-&quot;??_ ;_-@_ "/>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fill>
        <patternFill patternType="solid">
          <fgColor theme="0"/>
          <bgColor rgb="FF4D0E70"/>
        </patternFill>
      </fill>
      <border>
        <left style="thin">
          <color rgb="FF7030A0"/>
        </left>
        <right style="thin">
          <color rgb="FF7030A0"/>
        </right>
        <top style="thin">
          <color rgb="FF7030A0"/>
        </top>
        <bottom style="thin">
          <color rgb="FF7030A0"/>
        </bottom>
      </border>
    </dxf>
    <dxf>
      <font>
        <b/>
        <i val="0"/>
        <sz val="11"/>
        <color theme="0"/>
        <name val="Calibri"/>
        <family val="2"/>
        <scheme val="minor"/>
      </font>
    </dxf>
    <dxf>
      <font>
        <b val="0"/>
        <i val="0"/>
        <sz val="11"/>
        <color theme="0"/>
        <name val="Calibri"/>
        <family val="2"/>
        <scheme val="minor"/>
      </font>
      <fill>
        <patternFill>
          <bgColor rgb="FF3C1464"/>
        </patternFill>
      </fill>
    </dxf>
  </dxfs>
  <tableStyles count="2" defaultTableStyle="TableStyleMedium2" defaultPivotStyle="PivotStyleLight16">
    <tableStyle name="Purple Slicer" pivot="0" table="0" count="6" xr9:uid="{70943CE9-EFF4-4088-BF4E-B787D2131358}">
      <tableStyleElement type="wholeTable" dxfId="14"/>
      <tableStyleElement type="headerRow" dxfId="13"/>
    </tableStyle>
    <tableStyle name="Purple timeline style" pivot="0" table="0" count="9" xr9:uid="{2E788122-BB07-42F2-8B8D-00384FC8A4A8}">
      <tableStyleElement type="wholeTable" dxfId="12"/>
      <tableStyleElement type="headerRow" dxfId="11"/>
    </tableStyle>
  </tableStyles>
  <colors>
    <mruColors>
      <color rgb="FF009644"/>
      <color rgb="FF005828"/>
      <color rgb="FF00FA71"/>
      <color rgb="FF00C85A"/>
      <color rgb="FF009242"/>
      <color rgb="FF00B050"/>
      <color rgb="FF00863D"/>
      <color rgb="FF00B451"/>
      <color rgb="FF007033"/>
      <color rgb="FF00D25F"/>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0" tint="-4.9989318521683403E-2"/>
            </patternFill>
          </fill>
        </dxf>
        <dxf>
          <fill>
            <patternFill patternType="solid">
              <fgColor theme="0" tint="-0.14996795556505021"/>
              <bgColor theme="0" tint="-4.9989318521683403E-2"/>
            </patternFill>
          </fill>
        </dxf>
        <dxf>
          <fill>
            <patternFill patternType="solid">
              <fgColor theme="0"/>
              <bgColor rgb="FF9D3EA4"/>
            </patternFill>
          </fill>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Over Time</a:t>
            </a:r>
            <a:endParaRPr lang="en-IN"/>
          </a:p>
        </c:rich>
      </c:tx>
      <c:layout>
        <c:manualLayout>
          <c:xMode val="edge"/>
          <c:yMode val="edge"/>
          <c:x val="0.37029274774679422"/>
          <c:y val="1.14613180515759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cmpd="sng">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cmpd="sng">
            <a:solidFill>
              <a:schemeClr val="accent1">
                <a:lumMod val="75000"/>
              </a:schemeClr>
            </a:solidFill>
            <a:round/>
          </a:ln>
          <a:effectLst/>
        </c:spPr>
        <c:marker>
          <c:symbol val="none"/>
        </c:marker>
      </c:pivotFmt>
      <c:pivotFmt>
        <c:idx val="5"/>
        <c:spPr>
          <a:solidFill>
            <a:schemeClr val="accent1"/>
          </a:solidFill>
          <a:ln w="28575" cap="rnd" cmpd="sng">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cmpd="sng">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703118971389053E-2"/>
          <c:y val="0.121431716049602"/>
          <c:w val="0.77972596495584401"/>
          <c:h val="0.70424000943930043"/>
        </c:manualLayout>
      </c:layout>
      <c:lineChart>
        <c:grouping val="standard"/>
        <c:varyColors val="0"/>
        <c:ser>
          <c:idx val="0"/>
          <c:order val="0"/>
          <c:tx>
            <c:strRef>
              <c:f>'Total Sales'!$C$3:$C$4</c:f>
              <c:strCache>
                <c:ptCount val="1"/>
                <c:pt idx="0">
                  <c:v>Arabica</c:v>
                </c:pt>
              </c:strCache>
            </c:strRef>
          </c:tx>
          <c:spPr>
            <a:ln w="28575" cap="rnd" cmpd="sng">
              <a:solidFill>
                <a:schemeClr val="accent1">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68.655000000000001</c:v>
                </c:pt>
                <c:pt idx="1">
                  <c:v>148.92499999999998</c:v>
                </c:pt>
                <c:pt idx="2">
                  <c:v>137.19499999999999</c:v>
                </c:pt>
                <c:pt idx="3">
                  <c:v>155.24999999999997</c:v>
                </c:pt>
                <c:pt idx="4">
                  <c:v>29.784999999999997</c:v>
                </c:pt>
                <c:pt idx="5">
                  <c:v>155.24999999999997</c:v>
                </c:pt>
                <c:pt idx="6">
                  <c:v>272.43499999999995</c:v>
                </c:pt>
                <c:pt idx="7">
                  <c:v>226.54999999999995</c:v>
                </c:pt>
                <c:pt idx="8">
                  <c:v>178.70999999999998</c:v>
                </c:pt>
                <c:pt idx="9">
                  <c:v>100.50999999999999</c:v>
                </c:pt>
                <c:pt idx="10">
                  <c:v>178.70999999999998</c:v>
                </c:pt>
                <c:pt idx="11">
                  <c:v>155.24999999999997</c:v>
                </c:pt>
                <c:pt idx="13">
                  <c:v>678.38499999999999</c:v>
                </c:pt>
                <c:pt idx="16">
                  <c:v>77.624999999999986</c:v>
                </c:pt>
                <c:pt idx="17">
                  <c:v>473.33999999999992</c:v>
                </c:pt>
                <c:pt idx="18">
                  <c:v>297.84999999999997</c:v>
                </c:pt>
                <c:pt idx="20">
                  <c:v>91.539999999999992</c:v>
                </c:pt>
                <c:pt idx="21">
                  <c:v>198.02999999999997</c:v>
                </c:pt>
                <c:pt idx="22">
                  <c:v>476.32999999999993</c:v>
                </c:pt>
                <c:pt idx="24">
                  <c:v>77.624999999999986</c:v>
                </c:pt>
                <c:pt idx="25">
                  <c:v>217.92499999999995</c:v>
                </c:pt>
                <c:pt idx="26">
                  <c:v>268.06499999999994</c:v>
                </c:pt>
                <c:pt idx="28">
                  <c:v>103.49999999999999</c:v>
                </c:pt>
                <c:pt idx="29">
                  <c:v>240.80999999999997</c:v>
                </c:pt>
                <c:pt idx="31">
                  <c:v>141.10499999999999</c:v>
                </c:pt>
                <c:pt idx="32">
                  <c:v>629.27999999999986</c:v>
                </c:pt>
                <c:pt idx="33">
                  <c:v>166.17499999999998</c:v>
                </c:pt>
                <c:pt idx="34">
                  <c:v>137.31</c:v>
                </c:pt>
                <c:pt idx="35">
                  <c:v>178.70999999999998</c:v>
                </c:pt>
                <c:pt idx="36">
                  <c:v>51.749999999999993</c:v>
                </c:pt>
                <c:pt idx="38">
                  <c:v>148.92499999999998</c:v>
                </c:pt>
                <c:pt idx="39">
                  <c:v>51.749999999999993</c:v>
                </c:pt>
                <c:pt idx="40">
                  <c:v>71.644999999999996</c:v>
                </c:pt>
                <c:pt idx="42">
                  <c:v>195.95999999999998</c:v>
                </c:pt>
                <c:pt idx="43">
                  <c:v>29.784999999999997</c:v>
                </c:pt>
              </c:numCache>
            </c:numRef>
          </c:val>
          <c:smooth val="0"/>
          <c:extLst>
            <c:ext xmlns:c16="http://schemas.microsoft.com/office/drawing/2014/chart" uri="{C3380CC4-5D6E-409C-BE32-E72D297353CC}">
              <c16:uniqueId val="{00000000-FE0C-4828-96AB-6D37C66FB6BA}"/>
            </c:ext>
          </c:extLst>
        </c:ser>
        <c:ser>
          <c:idx val="1"/>
          <c:order val="1"/>
          <c:tx>
            <c:strRef>
              <c:f>'Total Sales'!$D$3:$D$4</c:f>
              <c:strCache>
                <c:ptCount val="1"/>
                <c:pt idx="0">
                  <c:v>Excelsa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111.78</c:v>
                </c:pt>
                <c:pt idx="2">
                  <c:v>230.92000000000002</c:v>
                </c:pt>
                <c:pt idx="3">
                  <c:v>512.32499999999993</c:v>
                </c:pt>
                <c:pt idx="5">
                  <c:v>626.17499999999995</c:v>
                </c:pt>
                <c:pt idx="6">
                  <c:v>204.92999999999995</c:v>
                </c:pt>
                <c:pt idx="9">
                  <c:v>96.254999999999995</c:v>
                </c:pt>
                <c:pt idx="10">
                  <c:v>63.249999999999993</c:v>
                </c:pt>
                <c:pt idx="11">
                  <c:v>444.01499999999987</c:v>
                </c:pt>
                <c:pt idx="13">
                  <c:v>227.24</c:v>
                </c:pt>
                <c:pt idx="14">
                  <c:v>62.099999999999994</c:v>
                </c:pt>
                <c:pt idx="15">
                  <c:v>252.99999999999997</c:v>
                </c:pt>
                <c:pt idx="16">
                  <c:v>472.88</c:v>
                </c:pt>
                <c:pt idx="17">
                  <c:v>165.71499999999997</c:v>
                </c:pt>
                <c:pt idx="18">
                  <c:v>31.624999999999996</c:v>
                </c:pt>
                <c:pt idx="21">
                  <c:v>254.60999999999999</c:v>
                </c:pt>
                <c:pt idx="22">
                  <c:v>111.78</c:v>
                </c:pt>
                <c:pt idx="23">
                  <c:v>171.35</c:v>
                </c:pt>
                <c:pt idx="24">
                  <c:v>31.624999999999996</c:v>
                </c:pt>
                <c:pt idx="25">
                  <c:v>139.72499999999999</c:v>
                </c:pt>
                <c:pt idx="26">
                  <c:v>194.80999999999997</c:v>
                </c:pt>
                <c:pt idx="27">
                  <c:v>147.08500000000001</c:v>
                </c:pt>
                <c:pt idx="30">
                  <c:v>189.74999999999997</c:v>
                </c:pt>
                <c:pt idx="31">
                  <c:v>111.78</c:v>
                </c:pt>
                <c:pt idx="32">
                  <c:v>83.835000000000008</c:v>
                </c:pt>
                <c:pt idx="33">
                  <c:v>187.45</c:v>
                </c:pt>
                <c:pt idx="34">
                  <c:v>297.84999999999997</c:v>
                </c:pt>
                <c:pt idx="37">
                  <c:v>55.89</c:v>
                </c:pt>
                <c:pt idx="38">
                  <c:v>102.46499999999997</c:v>
                </c:pt>
                <c:pt idx="39">
                  <c:v>164.56499999999997</c:v>
                </c:pt>
                <c:pt idx="40">
                  <c:v>126.49999999999999</c:v>
                </c:pt>
                <c:pt idx="41">
                  <c:v>359.37499999999994</c:v>
                </c:pt>
                <c:pt idx="42">
                  <c:v>158.12499999999997</c:v>
                </c:pt>
              </c:numCache>
            </c:numRef>
          </c:val>
          <c:smooth val="0"/>
          <c:extLst>
            <c:ext xmlns:c16="http://schemas.microsoft.com/office/drawing/2014/chart" uri="{C3380CC4-5D6E-409C-BE32-E72D297353CC}">
              <c16:uniqueId val="{00000001-FE0C-4828-96AB-6D37C66FB6BA}"/>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36.454999999999998</c:v>
                </c:pt>
                <c:pt idx="1">
                  <c:v>271.74499999999995</c:v>
                </c:pt>
                <c:pt idx="2">
                  <c:v>133.85999999999999</c:v>
                </c:pt>
                <c:pt idx="3">
                  <c:v>316.13499999999999</c:v>
                </c:pt>
                <c:pt idx="4">
                  <c:v>145.82</c:v>
                </c:pt>
                <c:pt idx="5">
                  <c:v>89.35499999999999</c:v>
                </c:pt>
                <c:pt idx="8">
                  <c:v>273.69999999999993</c:v>
                </c:pt>
                <c:pt idx="9">
                  <c:v>109.36499999999999</c:v>
                </c:pt>
                <c:pt idx="10">
                  <c:v>272.32</c:v>
                </c:pt>
                <c:pt idx="12">
                  <c:v>189.05999999999997</c:v>
                </c:pt>
                <c:pt idx="13">
                  <c:v>89.35499999999999</c:v>
                </c:pt>
                <c:pt idx="14">
                  <c:v>148.92499999999998</c:v>
                </c:pt>
                <c:pt idx="15">
                  <c:v>33.464999999999996</c:v>
                </c:pt>
                <c:pt idx="16">
                  <c:v>33.464999999999996</c:v>
                </c:pt>
                <c:pt idx="17">
                  <c:v>192.04999999999998</c:v>
                </c:pt>
                <c:pt idx="18">
                  <c:v>36.454999999999998</c:v>
                </c:pt>
                <c:pt idx="21">
                  <c:v>238.27999999999997</c:v>
                </c:pt>
                <c:pt idx="22">
                  <c:v>228.505</c:v>
                </c:pt>
                <c:pt idx="24">
                  <c:v>29.784999999999997</c:v>
                </c:pt>
                <c:pt idx="25">
                  <c:v>139.83999999999997</c:v>
                </c:pt>
                <c:pt idx="26">
                  <c:v>228.505</c:v>
                </c:pt>
                <c:pt idx="27">
                  <c:v>401.005</c:v>
                </c:pt>
                <c:pt idx="28">
                  <c:v>148.92499999999998</c:v>
                </c:pt>
                <c:pt idx="29">
                  <c:v>148.92499999999998</c:v>
                </c:pt>
                <c:pt idx="33">
                  <c:v>251.61999999999998</c:v>
                </c:pt>
                <c:pt idx="34">
                  <c:v>119.13999999999999</c:v>
                </c:pt>
                <c:pt idx="35">
                  <c:v>212.75</c:v>
                </c:pt>
                <c:pt idx="36">
                  <c:v>625.71499999999992</c:v>
                </c:pt>
                <c:pt idx="37">
                  <c:v>36.454999999999998</c:v>
                </c:pt>
                <c:pt idx="38">
                  <c:v>296.125</c:v>
                </c:pt>
                <c:pt idx="40">
                  <c:v>163.64499999999998</c:v>
                </c:pt>
                <c:pt idx="41">
                  <c:v>145.82</c:v>
                </c:pt>
                <c:pt idx="42">
                  <c:v>178.70999999999998</c:v>
                </c:pt>
              </c:numCache>
            </c:numRef>
          </c:val>
          <c:smooth val="0"/>
          <c:extLst>
            <c:ext xmlns:c16="http://schemas.microsoft.com/office/drawing/2014/chart" uri="{C3380CC4-5D6E-409C-BE32-E72D297353CC}">
              <c16:uniqueId val="{00000002-FE0C-4828-96AB-6D37C66FB6BA}"/>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1">
                  <c:v>41.169999999999995</c:v>
                </c:pt>
                <c:pt idx="3">
                  <c:v>54.969999999999992</c:v>
                </c:pt>
                <c:pt idx="5">
                  <c:v>219.76499999999999</c:v>
                </c:pt>
                <c:pt idx="6">
                  <c:v>123.50999999999999</c:v>
                </c:pt>
                <c:pt idx="7">
                  <c:v>68.655000000000001</c:v>
                </c:pt>
                <c:pt idx="8">
                  <c:v>361.55999999999995</c:v>
                </c:pt>
                <c:pt idx="11">
                  <c:v>130.52499999999998</c:v>
                </c:pt>
                <c:pt idx="12">
                  <c:v>27.484999999999996</c:v>
                </c:pt>
                <c:pt idx="13">
                  <c:v>357.30499999999995</c:v>
                </c:pt>
                <c:pt idx="14">
                  <c:v>137.31</c:v>
                </c:pt>
                <c:pt idx="15">
                  <c:v>196.76499999999999</c:v>
                </c:pt>
                <c:pt idx="16">
                  <c:v>41.169999999999995</c:v>
                </c:pt>
                <c:pt idx="17">
                  <c:v>132.82499999999999</c:v>
                </c:pt>
                <c:pt idx="18">
                  <c:v>247.01999999999995</c:v>
                </c:pt>
                <c:pt idx="19">
                  <c:v>41.169999999999995</c:v>
                </c:pt>
                <c:pt idx="20">
                  <c:v>155.70999999999998</c:v>
                </c:pt>
                <c:pt idx="21">
                  <c:v>109.93999999999998</c:v>
                </c:pt>
                <c:pt idx="22">
                  <c:v>27.484999999999996</c:v>
                </c:pt>
                <c:pt idx="23">
                  <c:v>45.769999999999996</c:v>
                </c:pt>
                <c:pt idx="24">
                  <c:v>91.539999999999992</c:v>
                </c:pt>
                <c:pt idx="27">
                  <c:v>82.339999999999989</c:v>
                </c:pt>
                <c:pt idx="28">
                  <c:v>192.39499999999995</c:v>
                </c:pt>
                <c:pt idx="29">
                  <c:v>61.754999999999995</c:v>
                </c:pt>
                <c:pt idx="30">
                  <c:v>109.93999999999998</c:v>
                </c:pt>
                <c:pt idx="31">
                  <c:v>196.76499999999999</c:v>
                </c:pt>
                <c:pt idx="32">
                  <c:v>109.93999999999998</c:v>
                </c:pt>
                <c:pt idx="33">
                  <c:v>91.539999999999992</c:v>
                </c:pt>
                <c:pt idx="34">
                  <c:v>68.655000000000001</c:v>
                </c:pt>
                <c:pt idx="35">
                  <c:v>137.42499999999998</c:v>
                </c:pt>
                <c:pt idx="36">
                  <c:v>45.769999999999996</c:v>
                </c:pt>
                <c:pt idx="38">
                  <c:v>288.4199999999999</c:v>
                </c:pt>
                <c:pt idx="39">
                  <c:v>102.92499999999998</c:v>
                </c:pt>
                <c:pt idx="40">
                  <c:v>164.67999999999998</c:v>
                </c:pt>
                <c:pt idx="41">
                  <c:v>308.89</c:v>
                </c:pt>
                <c:pt idx="42">
                  <c:v>45.769999999999996</c:v>
                </c:pt>
              </c:numCache>
            </c:numRef>
          </c:val>
          <c:smooth val="0"/>
          <c:extLst>
            <c:ext xmlns:c16="http://schemas.microsoft.com/office/drawing/2014/chart" uri="{C3380CC4-5D6E-409C-BE32-E72D297353CC}">
              <c16:uniqueId val="{00000003-FE0C-4828-96AB-6D37C66FB6BA}"/>
            </c:ext>
          </c:extLst>
        </c:ser>
        <c:dLbls>
          <c:showLegendKey val="0"/>
          <c:showVal val="0"/>
          <c:showCatName val="0"/>
          <c:showSerName val="0"/>
          <c:showPercent val="0"/>
          <c:showBubbleSize val="0"/>
        </c:dLbls>
        <c:smooth val="0"/>
        <c:axId val="1699393455"/>
        <c:axId val="1699412175"/>
      </c:lineChart>
      <c:catAx>
        <c:axId val="1699393455"/>
        <c:scaling>
          <c:orientation val="minMax"/>
        </c:scaling>
        <c:delete val="0"/>
        <c:axPos val="b"/>
        <c:numFmt formatCode="General" sourceLinked="1"/>
        <c:majorTickMark val="none"/>
        <c:minorTickMark val="none"/>
        <c:tickLblPos val="nextTo"/>
        <c:spPr>
          <a:solidFill>
            <a:srgbClr val="E1BCF2"/>
          </a:solid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699412175"/>
        <c:crosses val="autoZero"/>
        <c:auto val="1"/>
        <c:lblAlgn val="ctr"/>
        <c:lblOffset val="100"/>
        <c:noMultiLvlLbl val="0"/>
      </c:catAx>
      <c:valAx>
        <c:axId val="16994121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lumMod val="65000"/>
                        <a:lumOff val="35000"/>
                      </a:sysClr>
                    </a:solidFill>
                    <a:effectLst>
                      <a:outerShdw blurRad="50800" dist="50800" dir="5400000" sx="19000" sy="19000" algn="ctr" rotWithShape="0">
                        <a:srgbClr val="000000">
                          <a:alpha val="43137"/>
                        </a:srgbClr>
                      </a:outerShdw>
                    </a:effectLst>
                    <a:latin typeface="+mn-lt"/>
                    <a:ea typeface="+mn-ea"/>
                    <a:cs typeface="+mn-cs"/>
                  </a:defRPr>
                </a:pPr>
                <a:r>
                  <a:rPr lang="en-IN">
                    <a:solidFill>
                      <a:sysClr val="windowText" lastClr="000000">
                        <a:lumMod val="65000"/>
                        <a:lumOff val="35000"/>
                      </a:sysClr>
                    </a:solidFill>
                    <a:effectLst>
                      <a:outerShdw blurRad="50800" dist="50800" dir="5400000" sx="19000" sy="19000" algn="ctr" rotWithShape="0">
                        <a:srgbClr val="000000">
                          <a:alpha val="43137"/>
                        </a:srgbClr>
                      </a:outerShdw>
                    </a:effectLst>
                  </a:rPr>
                  <a:t>USD</a:t>
                </a:r>
              </a:p>
            </c:rich>
          </c:tx>
          <c:layout>
            <c:manualLayout>
              <c:xMode val="edge"/>
              <c:yMode val="edge"/>
              <c:x val="8.1188130305250555E-3"/>
              <c:y val="0.39089863050786272"/>
            </c:manualLayout>
          </c:layout>
          <c:overlay val="0"/>
          <c:spPr>
            <a:solidFill>
              <a:srgbClr val="E1BCF2"/>
            </a:solidFill>
            <a:ln w="0">
              <a:noFill/>
            </a:ln>
            <a:effectLst/>
          </c:spPr>
          <c:txPr>
            <a:bodyPr rot="-5400000" spcFirstLastPara="1" vertOverflow="ellipsis" vert="horz" wrap="square" anchor="ctr" anchorCtr="1"/>
            <a:lstStyle/>
            <a:p>
              <a:pPr>
                <a:defRPr sz="1000" b="0" i="0" u="none" strike="noStrike" kern="1200" baseline="0">
                  <a:solidFill>
                    <a:sysClr val="windowText" lastClr="000000">
                      <a:lumMod val="65000"/>
                      <a:lumOff val="35000"/>
                    </a:sysClr>
                  </a:solidFill>
                  <a:effectLst>
                    <a:outerShdw blurRad="50800" dist="50800" dir="5400000" sx="19000" sy="19000" algn="ctr" rotWithShape="0">
                      <a:srgbClr val="000000">
                        <a:alpha val="43137"/>
                      </a:srgbClr>
                    </a:outerShdw>
                  </a:effectLst>
                  <a:latin typeface="+mn-lt"/>
                  <a:ea typeface="+mn-ea"/>
                  <a:cs typeface="+mn-cs"/>
                </a:defRPr>
              </a:pPr>
              <a:endParaRPr lang="en-US"/>
            </a:p>
          </c:txPr>
        </c:title>
        <c:numFmt formatCode="#,##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1699393455"/>
        <c:crosses val="autoZero"/>
        <c:crossBetween val="between"/>
      </c:valAx>
      <c:spPr>
        <a:noFill/>
        <a:ln w="25400">
          <a:noFill/>
        </a:ln>
        <a:effectLst/>
      </c:spPr>
    </c:plotArea>
    <c:legend>
      <c:legendPos val="r"/>
      <c:layout>
        <c:manualLayout>
          <c:xMode val="edge"/>
          <c:yMode val="edge"/>
          <c:x val="0.85370371477620566"/>
          <c:y val="0.29746737478336549"/>
          <c:w val="0.14629628522379434"/>
          <c:h val="0.30960715255381288"/>
        </c:manualLayout>
      </c:layout>
      <c:overlay val="0"/>
      <c:spPr>
        <a:solidFill>
          <a:srgbClr val="E1BCF2"/>
        </a:solidFill>
        <a:ln>
          <a:noFill/>
        </a:ln>
        <a:effectLst/>
      </c:spPr>
      <c:txPr>
        <a:bodyPr rot="0" spcFirstLastPara="1" vertOverflow="ellipsis" vert="horz" wrap="square" anchor="ctr" anchorCtr="0"/>
        <a:lstStyle/>
        <a:p>
          <a:pPr>
            <a:defRPr sz="900" b="0" i="0" u="none" strike="noStrike" kern="1200" baseline="0">
              <a:ln>
                <a:noFill/>
              </a:ln>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1BC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 Bar Chart!PivotTable1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D25F"/>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15875">
            <a:solidFill>
              <a:schemeClr val="bg1">
                <a:lumMod val="95000"/>
              </a:schemeClr>
            </a:solidFill>
          </a:ln>
          <a:effectLst/>
        </c:spPr>
      </c:pivotFmt>
      <c:pivotFmt>
        <c:idx val="2"/>
        <c:spPr>
          <a:solidFill>
            <a:srgbClr val="009644"/>
          </a:solidFill>
          <a:ln w="15875">
            <a:solidFill>
              <a:schemeClr val="bg1">
                <a:lumMod val="95000"/>
              </a:schemeClr>
            </a:solidFill>
          </a:ln>
          <a:effectLst/>
        </c:spPr>
      </c:pivotFmt>
      <c:pivotFmt>
        <c:idx val="3"/>
        <c:spPr>
          <a:solidFill>
            <a:srgbClr val="00D25F"/>
          </a:solidFill>
          <a:ln w="15875">
            <a:solidFill>
              <a:schemeClr val="bg1">
                <a:lumMod val="95000"/>
              </a:schemeClr>
            </a:solidFill>
          </a:ln>
          <a:effectLst/>
        </c:spPr>
      </c:pivotFmt>
      <c:pivotFmt>
        <c:idx val="4"/>
        <c:spPr>
          <a:solidFill>
            <a:srgbClr val="00D25F"/>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644"/>
          </a:solidFill>
          <a:ln w="15875">
            <a:solidFill>
              <a:schemeClr val="bg1">
                <a:lumMod val="95000"/>
              </a:schemeClr>
            </a:solidFill>
          </a:ln>
          <a:effectLst/>
        </c:spPr>
      </c:pivotFmt>
      <c:pivotFmt>
        <c:idx val="6"/>
        <c:spPr>
          <a:solidFill>
            <a:srgbClr val="005828"/>
          </a:solidFill>
          <a:ln w="15875">
            <a:solidFill>
              <a:schemeClr val="bg1">
                <a:lumMod val="95000"/>
              </a:schemeClr>
            </a:solidFill>
          </a:ln>
          <a:effectLst/>
        </c:spPr>
      </c:pivotFmt>
      <c:pivotFmt>
        <c:idx val="7"/>
        <c:spPr>
          <a:solidFill>
            <a:srgbClr val="00D25F"/>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9644"/>
          </a:solidFill>
          <a:ln w="15875">
            <a:solidFill>
              <a:schemeClr val="bg1">
                <a:lumMod val="95000"/>
              </a:schemeClr>
            </a:solidFill>
          </a:ln>
          <a:effectLst/>
        </c:spPr>
      </c:pivotFmt>
      <c:pivotFmt>
        <c:idx val="9"/>
        <c:spPr>
          <a:solidFill>
            <a:srgbClr val="005828"/>
          </a:solidFill>
          <a:ln w="15875">
            <a:solidFill>
              <a:schemeClr val="bg1">
                <a:lumMod val="95000"/>
              </a:schemeClr>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D25F"/>
            </a:solidFill>
            <a:ln w="15875">
              <a:solidFill>
                <a:schemeClr val="bg1">
                  <a:lumMod val="95000"/>
                </a:schemeClr>
              </a:solidFill>
            </a:ln>
            <a:effectLst/>
          </c:spPr>
          <c:invertIfNegative val="0"/>
          <c:dPt>
            <c:idx val="1"/>
            <c:invertIfNegative val="0"/>
            <c:bubble3D val="0"/>
            <c:spPr>
              <a:solidFill>
                <a:srgbClr val="009644"/>
              </a:solidFill>
              <a:ln w="15875">
                <a:solidFill>
                  <a:schemeClr val="bg1">
                    <a:lumMod val="95000"/>
                  </a:schemeClr>
                </a:solidFill>
              </a:ln>
              <a:effectLst/>
            </c:spPr>
            <c:extLst>
              <c:ext xmlns:c16="http://schemas.microsoft.com/office/drawing/2014/chart" uri="{C3380CC4-5D6E-409C-BE32-E72D297353CC}">
                <c16:uniqueId val="{00000001-9138-4977-8961-A7261C026234}"/>
              </c:ext>
            </c:extLst>
          </c:dPt>
          <c:dPt>
            <c:idx val="2"/>
            <c:invertIfNegative val="0"/>
            <c:bubble3D val="0"/>
            <c:spPr>
              <a:solidFill>
                <a:srgbClr val="005828"/>
              </a:solidFill>
              <a:ln w="15875">
                <a:solidFill>
                  <a:schemeClr val="bg1">
                    <a:lumMod val="95000"/>
                  </a:schemeClr>
                </a:solidFill>
              </a:ln>
              <a:effectLst/>
            </c:spPr>
            <c:extLst>
              <c:ext xmlns:c16="http://schemas.microsoft.com/office/drawing/2014/chart" uri="{C3380CC4-5D6E-409C-BE32-E72D297353CC}">
                <c16:uniqueId val="{00000003-9138-4977-8961-A7261C0262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1173.92</c:v>
                </c:pt>
                <c:pt idx="1">
                  <c:v>3570.29</c:v>
                </c:pt>
                <c:pt idx="2">
                  <c:v>19041.354999999992</c:v>
                </c:pt>
              </c:numCache>
            </c:numRef>
          </c:val>
          <c:extLst>
            <c:ext xmlns:c16="http://schemas.microsoft.com/office/drawing/2014/chart" uri="{C3380CC4-5D6E-409C-BE32-E72D297353CC}">
              <c16:uniqueId val="{00000004-9138-4977-8961-A7261C026234}"/>
            </c:ext>
          </c:extLst>
        </c:ser>
        <c:dLbls>
          <c:dLblPos val="outEnd"/>
          <c:showLegendKey val="0"/>
          <c:showVal val="1"/>
          <c:showCatName val="0"/>
          <c:showSerName val="0"/>
          <c:showPercent val="0"/>
          <c:showBubbleSize val="0"/>
        </c:dLbls>
        <c:gapWidth val="219"/>
        <c:axId val="308227023"/>
        <c:axId val="308212623"/>
      </c:barChart>
      <c:catAx>
        <c:axId val="30822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12623"/>
        <c:crosses val="autoZero"/>
        <c:auto val="1"/>
        <c:lblAlgn val="ctr"/>
        <c:lblOffset val="100"/>
        <c:noMultiLvlLbl val="0"/>
      </c:catAx>
      <c:valAx>
        <c:axId val="308212623"/>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2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CB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5 Customer!PivotTable1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D25F"/>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828"/>
          </a:solidFill>
          <a:ln w="15875">
            <a:solidFill>
              <a:schemeClr val="bg1">
                <a:lumMod val="95000"/>
              </a:schemeClr>
            </a:solidFill>
          </a:ln>
          <a:effectLst/>
        </c:spPr>
      </c:pivotFmt>
      <c:pivotFmt>
        <c:idx val="2"/>
        <c:spPr>
          <a:solidFill>
            <a:srgbClr val="009644"/>
          </a:solidFill>
          <a:ln w="15875">
            <a:solidFill>
              <a:schemeClr val="bg1">
                <a:lumMod val="95000"/>
              </a:schemeClr>
            </a:solidFill>
          </a:ln>
          <a:effectLst/>
        </c:spPr>
      </c:pivotFmt>
      <c:pivotFmt>
        <c:idx val="3"/>
        <c:spPr>
          <a:solidFill>
            <a:srgbClr val="00D25F"/>
          </a:solidFill>
          <a:ln w="15875">
            <a:solidFill>
              <a:schemeClr val="bg1">
                <a:lumMod val="95000"/>
              </a:schemeClr>
            </a:solidFill>
          </a:ln>
          <a:effectLst/>
        </c:spPr>
      </c:pivotFmt>
      <c:pivotFmt>
        <c:idx val="4"/>
        <c:spPr>
          <a:solidFill>
            <a:srgbClr val="00D25F"/>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9644"/>
          </a:solidFill>
          <a:ln w="15875">
            <a:solidFill>
              <a:schemeClr val="bg1">
                <a:lumMod val="95000"/>
              </a:schemeClr>
            </a:solidFill>
          </a:ln>
          <a:effectLst/>
        </c:spPr>
      </c:pivotFmt>
      <c:pivotFmt>
        <c:idx val="6"/>
        <c:spPr>
          <a:solidFill>
            <a:srgbClr val="005828"/>
          </a:solidFill>
          <a:ln w="15875">
            <a:solidFill>
              <a:schemeClr val="bg1">
                <a:lumMod val="95000"/>
              </a:schemeClr>
            </a:solidFill>
          </a:ln>
          <a:effectLst/>
        </c:spPr>
      </c:pivotFmt>
      <c:pivotFmt>
        <c:idx val="7"/>
        <c:spPr>
          <a:solidFill>
            <a:srgbClr val="00D25F"/>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D25F"/>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Customer'!$B$3</c:f>
              <c:strCache>
                <c:ptCount val="1"/>
                <c:pt idx="0">
                  <c:v>Total</c:v>
                </c:pt>
              </c:strCache>
            </c:strRef>
          </c:tx>
          <c:spPr>
            <a:solidFill>
              <a:srgbClr val="00D25F"/>
            </a:solidFill>
            <a:ln w="15875">
              <a:solidFill>
                <a:schemeClr val="bg1">
                  <a:lumMod val="95000"/>
                </a:schemeClr>
              </a:solidFill>
            </a:ln>
            <a:effectLst/>
          </c:spPr>
          <c:invertIfNegative val="0"/>
          <c:dPt>
            <c:idx val="1"/>
            <c:invertIfNegative val="0"/>
            <c:bubble3D val="0"/>
            <c:extLst>
              <c:ext xmlns:c16="http://schemas.microsoft.com/office/drawing/2014/chart" uri="{C3380CC4-5D6E-409C-BE32-E72D297353CC}">
                <c16:uniqueId val="{00000000-62FF-4136-A053-06227F9EB213}"/>
              </c:ext>
            </c:extLst>
          </c:dPt>
          <c:dPt>
            <c:idx val="2"/>
            <c:invertIfNegative val="0"/>
            <c:bubble3D val="0"/>
            <c:extLst>
              <c:ext xmlns:c16="http://schemas.microsoft.com/office/drawing/2014/chart" uri="{C3380CC4-5D6E-409C-BE32-E72D297353CC}">
                <c16:uniqueId val="{00000001-62FF-4136-A053-06227F9EB2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Customer'!$A$4:$A$12</c:f>
              <c:strCache>
                <c:ptCount val="9"/>
                <c:pt idx="0">
                  <c:v>Elysee Sketch</c:v>
                </c:pt>
                <c:pt idx="1">
                  <c:v>Lacee Tanti</c:v>
                </c:pt>
                <c:pt idx="2">
                  <c:v>Teddi Crowthe</c:v>
                </c:pt>
                <c:pt idx="3">
                  <c:v>Nanny Lush</c:v>
                </c:pt>
                <c:pt idx="4">
                  <c:v>Daniel Heinonen</c:v>
                </c:pt>
                <c:pt idx="5">
                  <c:v>Shelli Keynd</c:v>
                </c:pt>
                <c:pt idx="6">
                  <c:v>Alexa Sizey</c:v>
                </c:pt>
                <c:pt idx="7">
                  <c:v>Allis Wilmore</c:v>
                </c:pt>
                <c:pt idx="8">
                  <c:v>Brenn Dundredge</c:v>
                </c:pt>
              </c:strCache>
            </c:strRef>
          </c:cat>
          <c:val>
            <c:numRef>
              <c:f>'Top 5 Customer'!$B$4:$B$12</c:f>
              <c:numCache>
                <c:formatCode>[$$-409]#,##0</c:formatCode>
                <c:ptCount val="9"/>
                <c:pt idx="0">
                  <c:v>204.92999999999995</c:v>
                </c:pt>
                <c:pt idx="1">
                  <c:v>204.92999999999995</c:v>
                </c:pt>
                <c:pt idx="2">
                  <c:v>204.92999999999995</c:v>
                </c:pt>
                <c:pt idx="3">
                  <c:v>204.92999999999995</c:v>
                </c:pt>
                <c:pt idx="4">
                  <c:v>204.92999999999995</c:v>
                </c:pt>
                <c:pt idx="5">
                  <c:v>204.92999999999995</c:v>
                </c:pt>
                <c:pt idx="6">
                  <c:v>218.73</c:v>
                </c:pt>
                <c:pt idx="7">
                  <c:v>237.81999999999996</c:v>
                </c:pt>
                <c:pt idx="8">
                  <c:v>253.68999999999997</c:v>
                </c:pt>
              </c:numCache>
            </c:numRef>
          </c:val>
          <c:extLst>
            <c:ext xmlns:c16="http://schemas.microsoft.com/office/drawing/2014/chart" uri="{C3380CC4-5D6E-409C-BE32-E72D297353CC}">
              <c16:uniqueId val="{00000002-62FF-4136-A053-06227F9EB213}"/>
            </c:ext>
          </c:extLst>
        </c:ser>
        <c:dLbls>
          <c:dLblPos val="outEnd"/>
          <c:showLegendKey val="0"/>
          <c:showVal val="1"/>
          <c:showCatName val="0"/>
          <c:showSerName val="0"/>
          <c:showPercent val="0"/>
          <c:showBubbleSize val="0"/>
        </c:dLbls>
        <c:gapWidth val="219"/>
        <c:axId val="308227023"/>
        <c:axId val="308212623"/>
      </c:barChart>
      <c:catAx>
        <c:axId val="30822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12623"/>
        <c:crosses val="autoZero"/>
        <c:auto val="1"/>
        <c:lblAlgn val="ctr"/>
        <c:lblOffset val="100"/>
        <c:noMultiLvlLbl val="0"/>
      </c:catAx>
      <c:valAx>
        <c:axId val="308212623"/>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2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CBF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104775</xdr:colOff>
      <xdr:row>14</xdr:row>
      <xdr:rowOff>47625</xdr:rowOff>
    </xdr:from>
    <xdr:to>
      <xdr:col>10</xdr:col>
      <xdr:colOff>581025</xdr:colOff>
      <xdr:row>38</xdr:row>
      <xdr:rowOff>28575</xdr:rowOff>
    </xdr:to>
    <xdr:graphicFrame macro="">
      <xdr:nvGraphicFramePr>
        <xdr:cNvPr id="2" name="Chart 1">
          <a:extLst>
            <a:ext uri="{FF2B5EF4-FFF2-40B4-BE49-F238E27FC236}">
              <a16:creationId xmlns:a16="http://schemas.microsoft.com/office/drawing/2014/main" id="{579A31AB-1B16-4742-BFF1-483958FB5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47625</xdr:rowOff>
    </xdr:from>
    <xdr:to>
      <xdr:col>10</xdr:col>
      <xdr:colOff>552450</xdr:colOff>
      <xdr:row>14</xdr:row>
      <xdr:rowOff>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09843E87-FE16-43B8-9387-35FFE41752C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300" y="866775"/>
              <a:ext cx="6038850" cy="1666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9524</xdr:colOff>
      <xdr:row>9</xdr:row>
      <xdr:rowOff>57151</xdr:rowOff>
    </xdr:from>
    <xdr:to>
      <xdr:col>14</xdr:col>
      <xdr:colOff>571500</xdr:colOff>
      <xdr:row>14</xdr:row>
      <xdr:rowOff>9525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DD4228B2-FE1F-4081-B041-EF68851531C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219824" y="1638301"/>
              <a:ext cx="2390776" cy="904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9523</xdr:colOff>
      <xdr:row>5</xdr:row>
      <xdr:rowOff>66673</xdr:rowOff>
    </xdr:from>
    <xdr:to>
      <xdr:col>19</xdr:col>
      <xdr:colOff>47625</xdr:colOff>
      <xdr:row>9</xdr:row>
      <xdr:rowOff>19050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E826F680-9D44-4BEE-A33E-259F973BAE4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219823" y="885823"/>
              <a:ext cx="4914902" cy="714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9</xdr:row>
      <xdr:rowOff>57150</xdr:rowOff>
    </xdr:from>
    <xdr:to>
      <xdr:col>19</xdr:col>
      <xdr:colOff>57150</xdr:colOff>
      <xdr:row>14</xdr:row>
      <xdr:rowOff>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3C7DA86-1990-418E-8C23-C99E1F0C757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686800" y="1638300"/>
              <a:ext cx="2457450" cy="89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1</xdr:row>
      <xdr:rowOff>0</xdr:rowOff>
    </xdr:from>
    <xdr:to>
      <xdr:col>22</xdr:col>
      <xdr:colOff>1</xdr:colOff>
      <xdr:row>5</xdr:row>
      <xdr:rowOff>0</xdr:rowOff>
    </xdr:to>
    <xdr:sp macro="" textlink="">
      <xdr:nvSpPr>
        <xdr:cNvPr id="7" name="Rectangle 6">
          <a:extLst>
            <a:ext uri="{FF2B5EF4-FFF2-40B4-BE49-F238E27FC236}">
              <a16:creationId xmlns:a16="http://schemas.microsoft.com/office/drawing/2014/main" id="{C63E6A90-A455-201A-73AC-E54F3C36B465}"/>
            </a:ext>
          </a:extLst>
        </xdr:cNvPr>
        <xdr:cNvSpPr/>
      </xdr:nvSpPr>
      <xdr:spPr>
        <a:xfrm>
          <a:off x="123825" y="57150"/>
          <a:ext cx="12792076" cy="7620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COFFEE SALES DASHBOARD</a:t>
          </a:r>
        </a:p>
      </xdr:txBody>
    </xdr:sp>
    <xdr:clientData/>
  </xdr:twoCellAnchor>
  <xdr:twoCellAnchor>
    <xdr:from>
      <xdr:col>10</xdr:col>
      <xdr:colOff>609599</xdr:colOff>
      <xdr:row>14</xdr:row>
      <xdr:rowOff>66675</xdr:rowOff>
    </xdr:from>
    <xdr:to>
      <xdr:col>19</xdr:col>
      <xdr:colOff>47624</xdr:colOff>
      <xdr:row>26</xdr:row>
      <xdr:rowOff>57151</xdr:rowOff>
    </xdr:to>
    <xdr:graphicFrame macro="">
      <xdr:nvGraphicFramePr>
        <xdr:cNvPr id="8" name="Chart 7">
          <a:extLst>
            <a:ext uri="{FF2B5EF4-FFF2-40B4-BE49-F238E27FC236}">
              <a16:creationId xmlns:a16="http://schemas.microsoft.com/office/drawing/2014/main" id="{11CCDE5C-DE2B-4AD0-BF4B-B416F1B38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26</xdr:row>
      <xdr:rowOff>133350</xdr:rowOff>
    </xdr:from>
    <xdr:to>
      <xdr:col>19</xdr:col>
      <xdr:colOff>47625</xdr:colOff>
      <xdr:row>38</xdr:row>
      <xdr:rowOff>38099</xdr:rowOff>
    </xdr:to>
    <xdr:graphicFrame macro="">
      <xdr:nvGraphicFramePr>
        <xdr:cNvPr id="9" name="Chart 8">
          <a:extLst>
            <a:ext uri="{FF2B5EF4-FFF2-40B4-BE49-F238E27FC236}">
              <a16:creationId xmlns:a16="http://schemas.microsoft.com/office/drawing/2014/main" id="{90FB409F-BBDD-44A5-A8C1-6019BC479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 refreshedDate="45974.087328703703" createdVersion="8" refreshedVersion="8" minRefreshableVersion="3" recordCount="1000" xr:uid="{05A70933-A6B6-4E59-A560-516EEA32992C}">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Coffee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11193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350E8C-E231-4395-BEC8-C3DC566CD219}"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21B8A-1ACE-42C9-B623-7C9B5FBCAB7D}"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4">
    <chartFormat chart="4" format="13"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0"/>
          </reference>
        </references>
      </pivotArea>
    </chartFormat>
    <chartFormat chart="13"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908E82-0D93-4ADB-A6D8-36FF816F095F}"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12"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h="1" x="1"/>
        <item h="1" x="0"/>
        <item x="2"/>
      </items>
    </pivotField>
    <pivotField compact="0" numFmtId="167" outline="0" showAll="0" defaultSubtotal="0"/>
    <pivotField dataField="1" compact="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9">
    <i>
      <x v="289"/>
    </i>
    <i>
      <x v="518"/>
    </i>
    <i>
      <x v="826"/>
    </i>
    <i>
      <x v="639"/>
    </i>
    <i>
      <x v="218"/>
    </i>
    <i>
      <x v="785"/>
    </i>
    <i>
      <x v="20"/>
    </i>
    <i>
      <x v="28"/>
    </i>
    <i>
      <x v="125"/>
    </i>
  </rowItems>
  <colItems count="1">
    <i/>
  </colItems>
  <dataFields count="1">
    <dataField name="Sum of Sales" fld="12" baseField="7" baseItem="1" numFmtId="168"/>
  </dataFields>
  <chartFormats count="3">
    <chartFormat chart="4" format="1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274CF4D-A8E8-4B70-929A-E23AAFD54640}" sourceName="Size">
  <pivotTables>
    <pivotTable tabId="18" name="PivotTable1"/>
    <pivotTable tabId="19" name="PivotTable1"/>
    <pivotTable tabId="20" name="PivotTable1"/>
  </pivotTables>
  <data>
    <tabular pivotCacheId="211193657">
      <items count="4">
        <i x="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60E2FE1-6911-4BA5-9005-3F47FF8E93B6}" sourceName="Roast Type Name">
  <pivotTables>
    <pivotTable tabId="18" name="PivotTable1"/>
    <pivotTable tabId="19" name="PivotTable1"/>
    <pivotTable tabId="20" name="PivotTable1"/>
  </pivotTables>
  <data>
    <tabular pivotCacheId="21119365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8AB32D5-54CF-431C-B3AB-02E90F129B26}" sourceName="Loyalty Card">
  <pivotTables>
    <pivotTable tabId="18" name="PivotTable1"/>
  </pivotTables>
  <data>
    <tabular pivotCacheId="2111936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FA5D4FA-576A-4083-B877-CF4D1467FC4F}" cache="Slicer_Size" caption="Size" columnCount="2" style="Purple Slicer" rowHeight="241300"/>
  <slicer name="Roast Type Name" xr10:uid="{A6B75BFB-A761-49AB-88AF-8D4B4507C177}" cache="Slicer_Roast_Type_Name" caption="Roast Type Name" columnCount="3" style="Purple Slicer" rowHeight="241300"/>
  <slicer name="Loyalty Card" xr10:uid="{B08676D5-C13F-465A-9778-39556CB198A1}"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3865C7-2AA2-4EDD-B1D2-F836147231E6}" name="Table1" displayName="Table1" ref="A1:P1001" totalsRowShown="0" headerRowDxfId="10">
  <autoFilter ref="A1:P1001" xr:uid="{DC3865C7-2AA2-4EDD-B1D2-F836147231E6}"/>
  <tableColumns count="16">
    <tableColumn id="1" xr3:uid="{54EB365F-C55F-407C-A979-6B96E9FEB5E7}" name="Order ID" dataDxfId="9"/>
    <tableColumn id="2" xr3:uid="{AC962664-1470-494F-BDBB-6640A4088F93}" name="Order Date" dataDxfId="8"/>
    <tableColumn id="3" xr3:uid="{086AF8DE-4820-4AFE-B2BA-6116B404B67E}" name="Customer ID" dataDxfId="7"/>
    <tableColumn id="4" xr3:uid="{55D928E9-FF35-4BFF-8D0B-6E1FDEE7A8A9}" name="Product ID"/>
    <tableColumn id="5" xr3:uid="{5D95E73A-76EF-47BE-AD14-72F49D962ED7}" name="Quantity" dataDxfId="6"/>
    <tableColumn id="6" xr3:uid="{FCAF5E8A-C939-4780-9814-1E3A74519DFC}" name="Customer Name" dataDxfId="5">
      <calculatedColumnFormula>_xlfn.XLOOKUP(C2,customers!$A$1:$A$1001,customers!$B$1:$B$1001,,0)</calculatedColumnFormula>
    </tableColumn>
    <tableColumn id="7" xr3:uid="{5F092308-011A-468C-99D9-958CB390AE7C}" name="Email" dataDxfId="4">
      <calculatedColumnFormula array="1">IF(_xlfn.XLOOKUP(C2,customers!$A$1:$A$1001,customers!$C$1:$C$1001,_xleta.N/A,0)=0,"",_xlfn.XLOOKUP(C2,customers!$A$1:$A$1001,customers!$C$1:$C$1001,_xleta.N/A,0))</calculatedColumnFormula>
    </tableColumn>
    <tableColumn id="8" xr3:uid="{CDF4969C-94E9-45CD-8913-A436355B3445}" name="Country" dataDxfId="3">
      <calculatedColumnFormula>_xlfn.XLOOKUP(C2,customers!$A$1:$A$1001,customers!$G$1:$G$1001,,0)</calculatedColumnFormula>
    </tableColumn>
    <tableColumn id="9" xr3:uid="{A02F1F76-D50C-42B7-96D3-E36AC3D1F249}" name="Coffee Type">
      <calculatedColumnFormula>INDEX(products!$A$1:$G$49,MATCH(orders!D2,products!$A$1:$A$49,0),MATCH(orders!$I$1,products!$A$1:$G$1,0))</calculatedColumnFormula>
    </tableColumn>
    <tableColumn id="10" xr3:uid="{F1748DB1-6461-4861-87BB-5FD4161208C7}" name="Roast Type">
      <calculatedColumnFormula>INDEX(products!$A$1:$G$49,MATCH(orders!$D2,products!$A$1:$A$49,0),MATCH(orders!J$1,products!$A$1:$G$1,0))</calculatedColumnFormula>
    </tableColumn>
    <tableColumn id="11" xr3:uid="{A4EABB72-245C-4D08-89F3-2A73D3479870}" name="Size" dataDxfId="2">
      <calculatedColumnFormula>INDEX(products!$A$1:$G$49,MATCH(orders!$D2,products!$A$1:$A$49,0),MATCH(orders!K$1,products!$A$1:$G$1,0))</calculatedColumnFormula>
    </tableColumn>
    <tableColumn id="12" xr3:uid="{B489618B-DABE-4228-81D4-172BF946CFD5}" name="Unit Price" dataDxfId="1">
      <calculatedColumnFormula>INDEX(products!$A$1:$G$49,MATCH(orders!$D2,products!$A$1:$A$49,0),MATCH(orders!L$1,products!$A$1:$G$1,0))</calculatedColumnFormula>
    </tableColumn>
    <tableColumn id="13" xr3:uid="{D5FA81FF-AADB-4E38-AE95-87D965C8D32E}" name="Sales">
      <calculatedColumnFormula>L2*E2</calculatedColumnFormula>
    </tableColumn>
    <tableColumn id="14" xr3:uid="{8A6E1B9B-3CE7-45DF-B89B-7D0A84801739}" name="CoffeeType Name">
      <calculatedColumnFormula>IF(I2="ROB","Robusta",IF(I2="EXC","Excelsa",IF(I2="Ara","Arabica",IF(I2="lib","Liberica",""))))</calculatedColumnFormula>
    </tableColumn>
    <tableColumn id="15" xr3:uid="{357D9AA6-6DDF-4986-8923-C23F11EBD6B8}" name="Roast Type Name">
      <calculatedColumnFormula>IF(J2="M","Medium",IF(J2="L","Large",IF(J2="D","Dark","")))</calculatedColumnFormula>
    </tableColumn>
    <tableColumn id="16" xr3:uid="{1457CF3E-9C72-4957-8199-F600DAAC30B9}" name="Loyalty Card" dataDxfId="0">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72DE321-9A79-4ACF-B77D-9A88D99B55BB}" sourceName="Order Date">
  <pivotTables>
    <pivotTable tabId="18" name="PivotTable1"/>
    <pivotTable tabId="19" name="PivotTable1"/>
    <pivotTable tabId="20" name="PivotTable1"/>
  </pivotTables>
  <state minimalRefreshVersion="6" lastRefreshVersion="6" pivotCacheId="21119365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DA63192-C337-41C5-801B-58E8C7E2E71A}" cache="NativeTimeline_Order_Date" caption="Order Date" level="2" selectionLevel="2" scrollPosition="2019-11-24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1CDE9-9AD3-484C-A283-B66AD25FCDFF}">
  <dimension ref="A1"/>
  <sheetViews>
    <sheetView showGridLines="0" topLeftCell="A16" workbookViewId="0">
      <selection activeCell="T14" sqref="T14"/>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7E31-87CB-44C4-A0AA-42DB26C07607}">
  <dimension ref="A3:F48"/>
  <sheetViews>
    <sheetView topLeftCell="A14" workbookViewId="0">
      <selection activeCell="F16" sqref="F16"/>
    </sheetView>
  </sheetViews>
  <sheetFormatPr defaultRowHeight="15" x14ac:dyDescent="0.25"/>
  <cols>
    <col min="1" max="1" width="13.140625" bestFit="1" customWidth="1"/>
    <col min="2" max="2" width="22" bestFit="1" customWidth="1"/>
    <col min="3" max="3" width="19.5703125" bestFit="1" customWidth="1"/>
    <col min="4" max="4" width="7.42578125" bestFit="1" customWidth="1"/>
    <col min="5" max="5" width="7.85546875" bestFit="1" customWidth="1"/>
    <col min="6" max="6" width="8.140625" bestFit="1" customWidth="1"/>
  </cols>
  <sheetData>
    <row r="3" spans="1:6" x14ac:dyDescent="0.25">
      <c r="A3" s="6" t="s">
        <v>6216</v>
      </c>
      <c r="C3" s="6" t="s">
        <v>6196</v>
      </c>
    </row>
    <row r="4" spans="1:6" x14ac:dyDescent="0.25">
      <c r="A4" s="6" t="s">
        <v>6214</v>
      </c>
      <c r="B4" s="6" t="s">
        <v>6215</v>
      </c>
      <c r="C4" t="s">
        <v>6217</v>
      </c>
      <c r="D4" t="s">
        <v>6218</v>
      </c>
      <c r="E4" t="s">
        <v>6219</v>
      </c>
      <c r="F4" t="s">
        <v>6220</v>
      </c>
    </row>
    <row r="5" spans="1:6" x14ac:dyDescent="0.25">
      <c r="A5" t="s">
        <v>6198</v>
      </c>
      <c r="B5" t="s">
        <v>6202</v>
      </c>
      <c r="C5" s="7">
        <v>68.655000000000001</v>
      </c>
      <c r="D5" s="7">
        <v>111.78</v>
      </c>
      <c r="E5" s="7">
        <v>36.454999999999998</v>
      </c>
      <c r="F5" s="7"/>
    </row>
    <row r="6" spans="1:6" x14ac:dyDescent="0.25">
      <c r="B6" t="s">
        <v>6203</v>
      </c>
      <c r="C6" s="7">
        <v>148.92499999999998</v>
      </c>
      <c r="D6" s="7"/>
      <c r="E6" s="7">
        <v>271.74499999999995</v>
      </c>
      <c r="F6" s="7">
        <v>41.169999999999995</v>
      </c>
    </row>
    <row r="7" spans="1:6" x14ac:dyDescent="0.25">
      <c r="B7" t="s">
        <v>6204</v>
      </c>
      <c r="C7" s="7">
        <v>137.19499999999999</v>
      </c>
      <c r="D7" s="7">
        <v>230.92000000000002</v>
      </c>
      <c r="E7" s="7">
        <v>133.85999999999999</v>
      </c>
      <c r="F7" s="7"/>
    </row>
    <row r="8" spans="1:6" x14ac:dyDescent="0.25">
      <c r="B8" t="s">
        <v>6205</v>
      </c>
      <c r="C8" s="7">
        <v>155.24999999999997</v>
      </c>
      <c r="D8" s="7">
        <v>512.32499999999993</v>
      </c>
      <c r="E8" s="7">
        <v>316.13499999999999</v>
      </c>
      <c r="F8" s="7">
        <v>54.969999999999992</v>
      </c>
    </row>
    <row r="9" spans="1:6" x14ac:dyDescent="0.25">
      <c r="B9" t="s">
        <v>6206</v>
      </c>
      <c r="C9" s="7">
        <v>29.784999999999997</v>
      </c>
      <c r="D9" s="7"/>
      <c r="E9" s="7">
        <v>145.82</v>
      </c>
      <c r="F9" s="7"/>
    </row>
    <row r="10" spans="1:6" x14ac:dyDescent="0.25">
      <c r="B10" t="s">
        <v>6207</v>
      </c>
      <c r="C10" s="7">
        <v>155.24999999999997</v>
      </c>
      <c r="D10" s="7">
        <v>626.17499999999995</v>
      </c>
      <c r="E10" s="7">
        <v>89.35499999999999</v>
      </c>
      <c r="F10" s="7">
        <v>219.76499999999999</v>
      </c>
    </row>
    <row r="11" spans="1:6" x14ac:dyDescent="0.25">
      <c r="B11" t="s">
        <v>6208</v>
      </c>
      <c r="C11" s="7">
        <v>272.43499999999995</v>
      </c>
      <c r="D11" s="7">
        <v>204.92999999999995</v>
      </c>
      <c r="E11" s="7"/>
      <c r="F11" s="7">
        <v>123.50999999999999</v>
      </c>
    </row>
    <row r="12" spans="1:6" x14ac:dyDescent="0.25">
      <c r="B12" t="s">
        <v>6209</v>
      </c>
      <c r="C12" s="7">
        <v>226.54999999999995</v>
      </c>
      <c r="D12" s="7"/>
      <c r="E12" s="7"/>
      <c r="F12" s="7">
        <v>68.655000000000001</v>
      </c>
    </row>
    <row r="13" spans="1:6" x14ac:dyDescent="0.25">
      <c r="B13" t="s">
        <v>6210</v>
      </c>
      <c r="C13" s="7">
        <v>178.70999999999998</v>
      </c>
      <c r="D13" s="7"/>
      <c r="E13" s="7">
        <v>273.69999999999993</v>
      </c>
      <c r="F13" s="7">
        <v>361.55999999999995</v>
      </c>
    </row>
    <row r="14" spans="1:6" x14ac:dyDescent="0.25">
      <c r="B14" t="s">
        <v>6211</v>
      </c>
      <c r="C14" s="7">
        <v>100.50999999999999</v>
      </c>
      <c r="D14" s="7">
        <v>96.254999999999995</v>
      </c>
      <c r="E14" s="7">
        <v>109.36499999999999</v>
      </c>
      <c r="F14" s="7"/>
    </row>
    <row r="15" spans="1:6" x14ac:dyDescent="0.25">
      <c r="B15" t="s">
        <v>6212</v>
      </c>
      <c r="C15" s="7">
        <v>178.70999999999998</v>
      </c>
      <c r="D15" s="7">
        <v>63.249999999999993</v>
      </c>
      <c r="E15" s="7">
        <v>272.32</v>
      </c>
      <c r="F15" s="7"/>
    </row>
    <row r="16" spans="1:6" x14ac:dyDescent="0.25">
      <c r="B16" t="s">
        <v>6213</v>
      </c>
      <c r="C16" s="7">
        <v>155.24999999999997</v>
      </c>
      <c r="D16" s="7">
        <v>444.01499999999987</v>
      </c>
      <c r="E16" s="7"/>
      <c r="F16" s="7">
        <v>130.52499999999998</v>
      </c>
    </row>
    <row r="17" spans="1:6" x14ac:dyDescent="0.25">
      <c r="A17" t="s">
        <v>6199</v>
      </c>
      <c r="B17" t="s">
        <v>6202</v>
      </c>
      <c r="C17" s="7"/>
      <c r="D17" s="7"/>
      <c r="E17" s="7">
        <v>189.05999999999997</v>
      </c>
      <c r="F17" s="7">
        <v>27.484999999999996</v>
      </c>
    </row>
    <row r="18" spans="1:6" x14ac:dyDescent="0.25">
      <c r="B18" t="s">
        <v>6203</v>
      </c>
      <c r="C18" s="7">
        <v>678.38499999999999</v>
      </c>
      <c r="D18" s="7">
        <v>227.24</v>
      </c>
      <c r="E18" s="7">
        <v>89.35499999999999</v>
      </c>
      <c r="F18" s="7">
        <v>357.30499999999995</v>
      </c>
    </row>
    <row r="19" spans="1:6" x14ac:dyDescent="0.25">
      <c r="B19" t="s">
        <v>6204</v>
      </c>
      <c r="C19" s="7"/>
      <c r="D19" s="7">
        <v>62.099999999999994</v>
      </c>
      <c r="E19" s="7">
        <v>148.92499999999998</v>
      </c>
      <c r="F19" s="7">
        <v>137.31</v>
      </c>
    </row>
    <row r="20" spans="1:6" x14ac:dyDescent="0.25">
      <c r="B20" t="s">
        <v>6205</v>
      </c>
      <c r="C20" s="7"/>
      <c r="D20" s="7">
        <v>252.99999999999997</v>
      </c>
      <c r="E20" s="7">
        <v>33.464999999999996</v>
      </c>
      <c r="F20" s="7">
        <v>196.76499999999999</v>
      </c>
    </row>
    <row r="21" spans="1:6" x14ac:dyDescent="0.25">
      <c r="B21" t="s">
        <v>6206</v>
      </c>
      <c r="C21" s="7">
        <v>77.624999999999986</v>
      </c>
      <c r="D21" s="7">
        <v>472.88</v>
      </c>
      <c r="E21" s="7">
        <v>33.464999999999996</v>
      </c>
      <c r="F21" s="7">
        <v>41.169999999999995</v>
      </c>
    </row>
    <row r="22" spans="1:6" x14ac:dyDescent="0.25">
      <c r="B22" t="s">
        <v>6207</v>
      </c>
      <c r="C22" s="7">
        <v>473.33999999999992</v>
      </c>
      <c r="D22" s="7">
        <v>165.71499999999997</v>
      </c>
      <c r="E22" s="7">
        <v>192.04999999999998</v>
      </c>
      <c r="F22" s="7">
        <v>132.82499999999999</v>
      </c>
    </row>
    <row r="23" spans="1:6" x14ac:dyDescent="0.25">
      <c r="B23" t="s">
        <v>6208</v>
      </c>
      <c r="C23" s="7">
        <v>297.84999999999997</v>
      </c>
      <c r="D23" s="7">
        <v>31.624999999999996</v>
      </c>
      <c r="E23" s="7">
        <v>36.454999999999998</v>
      </c>
      <c r="F23" s="7">
        <v>247.01999999999995</v>
      </c>
    </row>
    <row r="24" spans="1:6" x14ac:dyDescent="0.25">
      <c r="B24" t="s">
        <v>6209</v>
      </c>
      <c r="C24" s="7"/>
      <c r="D24" s="7"/>
      <c r="E24" s="7"/>
      <c r="F24" s="7">
        <v>41.169999999999995</v>
      </c>
    </row>
    <row r="25" spans="1:6" x14ac:dyDescent="0.25">
      <c r="B25" t="s">
        <v>6210</v>
      </c>
      <c r="C25" s="7">
        <v>91.539999999999992</v>
      </c>
      <c r="D25" s="7"/>
      <c r="E25" s="7"/>
      <c r="F25" s="7">
        <v>155.70999999999998</v>
      </c>
    </row>
    <row r="26" spans="1:6" x14ac:dyDescent="0.25">
      <c r="B26" t="s">
        <v>6211</v>
      </c>
      <c r="C26" s="7">
        <v>198.02999999999997</v>
      </c>
      <c r="D26" s="7">
        <v>254.60999999999999</v>
      </c>
      <c r="E26" s="7">
        <v>238.27999999999997</v>
      </c>
      <c r="F26" s="7">
        <v>109.93999999999998</v>
      </c>
    </row>
    <row r="27" spans="1:6" x14ac:dyDescent="0.25">
      <c r="B27" t="s">
        <v>6212</v>
      </c>
      <c r="C27" s="7">
        <v>476.32999999999993</v>
      </c>
      <c r="D27" s="7">
        <v>111.78</v>
      </c>
      <c r="E27" s="7">
        <v>228.505</v>
      </c>
      <c r="F27" s="7">
        <v>27.484999999999996</v>
      </c>
    </row>
    <row r="28" spans="1:6" x14ac:dyDescent="0.25">
      <c r="B28" t="s">
        <v>6213</v>
      </c>
      <c r="C28" s="7"/>
      <c r="D28" s="7">
        <v>171.35</v>
      </c>
      <c r="E28" s="7"/>
      <c r="F28" s="7">
        <v>45.769999999999996</v>
      </c>
    </row>
    <row r="29" spans="1:6" x14ac:dyDescent="0.25">
      <c r="A29" t="s">
        <v>6200</v>
      </c>
      <c r="B29" t="s">
        <v>6202</v>
      </c>
      <c r="C29" s="7">
        <v>77.624999999999986</v>
      </c>
      <c r="D29" s="7">
        <v>31.624999999999996</v>
      </c>
      <c r="E29" s="7">
        <v>29.784999999999997</v>
      </c>
      <c r="F29" s="7">
        <v>91.539999999999992</v>
      </c>
    </row>
    <row r="30" spans="1:6" x14ac:dyDescent="0.25">
      <c r="B30" t="s">
        <v>6203</v>
      </c>
      <c r="C30" s="7">
        <v>217.92499999999995</v>
      </c>
      <c r="D30" s="7">
        <v>139.72499999999999</v>
      </c>
      <c r="E30" s="7">
        <v>139.83999999999997</v>
      </c>
      <c r="F30" s="7"/>
    </row>
    <row r="31" spans="1:6" x14ac:dyDescent="0.25">
      <c r="B31" t="s">
        <v>6204</v>
      </c>
      <c r="C31" s="7">
        <v>268.06499999999994</v>
      </c>
      <c r="D31" s="7">
        <v>194.80999999999997</v>
      </c>
      <c r="E31" s="7">
        <v>228.505</v>
      </c>
      <c r="F31" s="7"/>
    </row>
    <row r="32" spans="1:6" x14ac:dyDescent="0.25">
      <c r="B32" t="s">
        <v>6205</v>
      </c>
      <c r="C32" s="7"/>
      <c r="D32" s="7">
        <v>147.08500000000001</v>
      </c>
      <c r="E32" s="7">
        <v>401.005</v>
      </c>
      <c r="F32" s="7">
        <v>82.339999999999989</v>
      </c>
    </row>
    <row r="33" spans="1:6" x14ac:dyDescent="0.25">
      <c r="B33" t="s">
        <v>6206</v>
      </c>
      <c r="C33" s="7">
        <v>103.49999999999999</v>
      </c>
      <c r="D33" s="7"/>
      <c r="E33" s="7">
        <v>148.92499999999998</v>
      </c>
      <c r="F33" s="7">
        <v>192.39499999999995</v>
      </c>
    </row>
    <row r="34" spans="1:6" x14ac:dyDescent="0.25">
      <c r="B34" t="s">
        <v>6207</v>
      </c>
      <c r="C34" s="7">
        <v>240.80999999999997</v>
      </c>
      <c r="D34" s="7"/>
      <c r="E34" s="7">
        <v>148.92499999999998</v>
      </c>
      <c r="F34" s="7">
        <v>61.754999999999995</v>
      </c>
    </row>
    <row r="35" spans="1:6" x14ac:dyDescent="0.25">
      <c r="B35" t="s">
        <v>6208</v>
      </c>
      <c r="C35" s="7"/>
      <c r="D35" s="7">
        <v>189.74999999999997</v>
      </c>
      <c r="E35" s="7"/>
      <c r="F35" s="7">
        <v>109.93999999999998</v>
      </c>
    </row>
    <row r="36" spans="1:6" x14ac:dyDescent="0.25">
      <c r="B36" t="s">
        <v>6209</v>
      </c>
      <c r="C36" s="7">
        <v>141.10499999999999</v>
      </c>
      <c r="D36" s="7">
        <v>111.78</v>
      </c>
      <c r="E36" s="7"/>
      <c r="F36" s="7">
        <v>196.76499999999999</v>
      </c>
    </row>
    <row r="37" spans="1:6" x14ac:dyDescent="0.25">
      <c r="B37" t="s">
        <v>6210</v>
      </c>
      <c r="C37" s="7">
        <v>629.27999999999986</v>
      </c>
      <c r="D37" s="7">
        <v>83.835000000000008</v>
      </c>
      <c r="E37" s="7"/>
      <c r="F37" s="7">
        <v>109.93999999999998</v>
      </c>
    </row>
    <row r="38" spans="1:6" x14ac:dyDescent="0.25">
      <c r="B38" t="s">
        <v>6211</v>
      </c>
      <c r="C38" s="7">
        <v>166.17499999999998</v>
      </c>
      <c r="D38" s="7">
        <v>187.45</v>
      </c>
      <c r="E38" s="7">
        <v>251.61999999999998</v>
      </c>
      <c r="F38" s="7">
        <v>91.539999999999992</v>
      </c>
    </row>
    <row r="39" spans="1:6" x14ac:dyDescent="0.25">
      <c r="B39" t="s">
        <v>6212</v>
      </c>
      <c r="C39" s="7">
        <v>137.31</v>
      </c>
      <c r="D39" s="7">
        <v>297.84999999999997</v>
      </c>
      <c r="E39" s="7">
        <v>119.13999999999999</v>
      </c>
      <c r="F39" s="7">
        <v>68.655000000000001</v>
      </c>
    </row>
    <row r="40" spans="1:6" x14ac:dyDescent="0.25">
      <c r="B40" t="s">
        <v>6213</v>
      </c>
      <c r="C40" s="7">
        <v>178.70999999999998</v>
      </c>
      <c r="D40" s="7"/>
      <c r="E40" s="7">
        <v>212.75</v>
      </c>
      <c r="F40" s="7">
        <v>137.42499999999998</v>
      </c>
    </row>
    <row r="41" spans="1:6" x14ac:dyDescent="0.25">
      <c r="A41" t="s">
        <v>6201</v>
      </c>
      <c r="B41" t="s">
        <v>6202</v>
      </c>
      <c r="C41" s="7">
        <v>51.749999999999993</v>
      </c>
      <c r="D41" s="7"/>
      <c r="E41" s="7">
        <v>625.71499999999992</v>
      </c>
      <c r="F41" s="7">
        <v>45.769999999999996</v>
      </c>
    </row>
    <row r="42" spans="1:6" x14ac:dyDescent="0.25">
      <c r="B42" t="s">
        <v>6203</v>
      </c>
      <c r="C42" s="7"/>
      <c r="D42" s="7">
        <v>55.89</v>
      </c>
      <c r="E42" s="7">
        <v>36.454999999999998</v>
      </c>
      <c r="F42" s="7"/>
    </row>
    <row r="43" spans="1:6" x14ac:dyDescent="0.25">
      <c r="B43" t="s">
        <v>6204</v>
      </c>
      <c r="C43" s="7">
        <v>148.92499999999998</v>
      </c>
      <c r="D43" s="7">
        <v>102.46499999999997</v>
      </c>
      <c r="E43" s="7">
        <v>296.125</v>
      </c>
      <c r="F43" s="7">
        <v>288.4199999999999</v>
      </c>
    </row>
    <row r="44" spans="1:6" x14ac:dyDescent="0.25">
      <c r="B44" t="s">
        <v>6205</v>
      </c>
      <c r="C44" s="7">
        <v>51.749999999999993</v>
      </c>
      <c r="D44" s="7">
        <v>164.56499999999997</v>
      </c>
      <c r="E44" s="7"/>
      <c r="F44" s="7">
        <v>102.92499999999998</v>
      </c>
    </row>
    <row r="45" spans="1:6" x14ac:dyDescent="0.25">
      <c r="B45" t="s">
        <v>6206</v>
      </c>
      <c r="C45" s="7">
        <v>71.644999999999996</v>
      </c>
      <c r="D45" s="7">
        <v>126.49999999999999</v>
      </c>
      <c r="E45" s="7">
        <v>163.64499999999998</v>
      </c>
      <c r="F45" s="7">
        <v>164.67999999999998</v>
      </c>
    </row>
    <row r="46" spans="1:6" x14ac:dyDescent="0.25">
      <c r="B46" t="s">
        <v>6207</v>
      </c>
      <c r="C46" s="7"/>
      <c r="D46" s="7">
        <v>359.37499999999994</v>
      </c>
      <c r="E46" s="7">
        <v>145.82</v>
      </c>
      <c r="F46" s="7">
        <v>308.89</v>
      </c>
    </row>
    <row r="47" spans="1:6" x14ac:dyDescent="0.25">
      <c r="B47" t="s">
        <v>6208</v>
      </c>
      <c r="C47" s="7">
        <v>195.95999999999998</v>
      </c>
      <c r="D47" s="7">
        <v>158.12499999999997</v>
      </c>
      <c r="E47" s="7">
        <v>178.70999999999998</v>
      </c>
      <c r="F47" s="7">
        <v>45.769999999999996</v>
      </c>
    </row>
    <row r="48" spans="1:6" x14ac:dyDescent="0.25">
      <c r="B48" t="s">
        <v>6209</v>
      </c>
      <c r="C48" s="7">
        <v>29.784999999999997</v>
      </c>
      <c r="D48" s="7"/>
      <c r="E48" s="7"/>
      <c r="F4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76B9-49BA-47D2-8B34-3F7CD35274F1}">
  <dimension ref="A3:B6"/>
  <sheetViews>
    <sheetView workbookViewId="0">
      <selection activeCell="A3" sqref="A3"/>
    </sheetView>
  </sheetViews>
  <sheetFormatPr defaultRowHeight="15" x14ac:dyDescent="0.25"/>
  <cols>
    <col min="1" max="1" width="15.42578125" bestFit="1" customWidth="1"/>
    <col min="2" max="2" width="12.140625" bestFit="1" customWidth="1"/>
    <col min="3" max="3" width="22" bestFit="1" customWidth="1"/>
    <col min="4" max="4" width="19.5703125" bestFit="1" customWidth="1"/>
    <col min="5" max="5" width="7.42578125" bestFit="1" customWidth="1"/>
    <col min="6" max="6" width="7.85546875" bestFit="1" customWidth="1"/>
    <col min="7" max="7" width="8.140625" bestFit="1" customWidth="1"/>
  </cols>
  <sheetData>
    <row r="3" spans="1:2" x14ac:dyDescent="0.25">
      <c r="A3" s="6" t="s">
        <v>7</v>
      </c>
      <c r="B3" t="s">
        <v>6216</v>
      </c>
    </row>
    <row r="4" spans="1:2" x14ac:dyDescent="0.25">
      <c r="A4" t="s">
        <v>28</v>
      </c>
      <c r="B4" s="8">
        <v>1173.92</v>
      </c>
    </row>
    <row r="5" spans="1:2" x14ac:dyDescent="0.25">
      <c r="A5" t="s">
        <v>318</v>
      </c>
      <c r="B5" s="8">
        <v>3570.29</v>
      </c>
    </row>
    <row r="6" spans="1:2" x14ac:dyDescent="0.25">
      <c r="A6" t="s">
        <v>19</v>
      </c>
      <c r="B6" s="8">
        <v>19041.354999999992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21DC-E13E-488A-A389-F476DD69BE0E}">
  <dimension ref="A3:B12"/>
  <sheetViews>
    <sheetView workbookViewId="0">
      <selection activeCell="K8" sqref="K8"/>
    </sheetView>
  </sheetViews>
  <sheetFormatPr defaultRowHeight="15" x14ac:dyDescent="0.25"/>
  <cols>
    <col min="1" max="1" width="17.7109375" bestFit="1" customWidth="1"/>
    <col min="2" max="3" width="12.140625" bestFit="1" customWidth="1"/>
    <col min="4" max="4" width="19.5703125" bestFit="1" customWidth="1"/>
    <col min="5" max="5" width="7.42578125" bestFit="1" customWidth="1"/>
    <col min="6" max="6" width="7.85546875" bestFit="1" customWidth="1"/>
    <col min="7" max="7" width="8.140625" bestFit="1" customWidth="1"/>
  </cols>
  <sheetData>
    <row r="3" spans="1:2" x14ac:dyDescent="0.25">
      <c r="A3" s="6" t="s">
        <v>4</v>
      </c>
      <c r="B3" t="s">
        <v>6216</v>
      </c>
    </row>
    <row r="4" spans="1:2" x14ac:dyDescent="0.25">
      <c r="A4" t="s">
        <v>1472</v>
      </c>
      <c r="B4" s="8">
        <v>204.92999999999995</v>
      </c>
    </row>
    <row r="5" spans="1:2" x14ac:dyDescent="0.25">
      <c r="A5" t="s">
        <v>2177</v>
      </c>
      <c r="B5" s="8">
        <v>204.92999999999995</v>
      </c>
    </row>
    <row r="6" spans="1:2" x14ac:dyDescent="0.25">
      <c r="A6" t="s">
        <v>2046</v>
      </c>
      <c r="B6" s="8">
        <v>204.92999999999995</v>
      </c>
    </row>
    <row r="7" spans="1:2" x14ac:dyDescent="0.25">
      <c r="A7" t="s">
        <v>2275</v>
      </c>
      <c r="B7" s="8">
        <v>204.92999999999995</v>
      </c>
    </row>
    <row r="8" spans="1:2" x14ac:dyDescent="0.25">
      <c r="A8" t="s">
        <v>3820</v>
      </c>
      <c r="B8" s="8">
        <v>204.92999999999995</v>
      </c>
    </row>
    <row r="9" spans="1:2" x14ac:dyDescent="0.25">
      <c r="A9" t="s">
        <v>2454</v>
      </c>
      <c r="B9" s="8">
        <v>204.92999999999995</v>
      </c>
    </row>
    <row r="10" spans="1:2" x14ac:dyDescent="0.25">
      <c r="A10" t="s">
        <v>1386</v>
      </c>
      <c r="B10" s="8">
        <v>218.73</v>
      </c>
    </row>
    <row r="11" spans="1:2" x14ac:dyDescent="0.25">
      <c r="A11" t="s">
        <v>5114</v>
      </c>
      <c r="B11" s="8">
        <v>237.81999999999996</v>
      </c>
    </row>
    <row r="12" spans="1:2" x14ac:dyDescent="0.25">
      <c r="A12" t="s">
        <v>5765</v>
      </c>
      <c r="B12" s="8">
        <v>253.68999999999997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3" sqref="P3"/>
    </sheetView>
  </sheetViews>
  <sheetFormatPr defaultRowHeight="15" x14ac:dyDescent="0.25"/>
  <cols>
    <col min="1" max="1" width="16.5703125" bestFit="1" customWidth="1"/>
    <col min="2" max="2" width="18.7109375" bestFit="1" customWidth="1"/>
    <col min="3" max="3" width="17.42578125" bestFit="1" customWidth="1"/>
    <col min="4" max="4" width="12" customWidth="1"/>
    <col min="5" max="5" width="10.42578125" customWidth="1"/>
    <col min="6" max="6" width="19.7109375" customWidth="1"/>
    <col min="7" max="7" width="39.42578125" bestFit="1" customWidth="1"/>
    <col min="8" max="8" width="20.7109375" bestFit="1" customWidth="1"/>
    <col min="9" max="9" width="13.140625" customWidth="1"/>
    <col min="10" max="10" width="12.42578125" customWidth="1"/>
    <col min="11" max="11" width="6.140625" customWidth="1"/>
    <col min="12" max="12" width="11.28515625" customWidth="1"/>
    <col min="13" max="13" width="8.85546875" customWidth="1"/>
    <col min="14" max="14" width="18.4257812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cm="1">
        <f t="array" ref="G2">IF(_xlfn.XLOOKUP(C2,customers!$A$1:$A$1001,customers!$C$1:$C$1001,_xleta.N/A,0)=0,"",_xlfn.XLOOKUP(C2,customers!$A$1:$A$1001,customers!$C$1:$C$1001,_xleta.N/A,0))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f>L2*E2</f>
        <v>19.899999999999999</v>
      </c>
      <c r="N2" t="str">
        <f>IF(I2="ROB","Robusta",IF(I2="EXC","Excelsa",IF(I2="Ara","Arabica",IF(I2="lib","Liberica",""))))</f>
        <v>Robusta</v>
      </c>
      <c r="O2" t="str">
        <f>IF(J2="M","Medium",IF(J2="L","Large",IF(J2="D","Dark","")))</f>
        <v>Medium</v>
      </c>
      <c r="P2" t="str">
        <f>_xlfn.XLOOKUP(Table1[[#This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cm="1">
        <f t="array" ref="G3">IF(_xlfn.XLOOKUP(C3,customers!$A$1:$A$1001,customers!$C$1:$C$1001,_xleta.N/A,0)=0,"",_xlfn.XLOOKUP(C3,customers!$A$1:$A$1001,customers!$C$1:$C$1001,_xleta.N/A,0))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f t="shared" ref="M3:M66" si="0">L3*E3</f>
        <v>41.25</v>
      </c>
      <c r="N3" t="str">
        <f t="shared" ref="N3:N66" si="1">IF(I3="ROB","Robusta",IF(I3="EXC","Excelsa",IF(I3="Ara","Arabica",IF(I3="lib","Liberica",""))))</f>
        <v>Excelsa</v>
      </c>
      <c r="O3" t="str">
        <f t="shared" ref="O3:O66" si="2">IF(J3="M","Medium",IF(J3="L","Large",IF(J3="D","Dark","")))</f>
        <v>Medium</v>
      </c>
      <c r="P3" t="str">
        <f>_xlfn.XLOOKUP(Table1[[#This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cm="1">
        <f t="array" ref="G4">IF(_xlfn.XLOOKUP(C4,customers!$A$1:$A$1001,customers!$C$1:$C$1001,_xleta.N/A,0)=0,"",_xlfn.XLOOKUP(C4,customers!$A$1:$A$1001,customers!$C$1:$C$1001,_xleta.N/A,0))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f t="shared" si="0"/>
        <v>12.95</v>
      </c>
      <c r="N4" t="str">
        <f t="shared" si="1"/>
        <v>Arabica</v>
      </c>
      <c r="O4" t="str">
        <f t="shared" si="2"/>
        <v>Large</v>
      </c>
      <c r="P4" t="str">
        <f>_xlfn.XLOOKUP(Table1[[#This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cm="1">
        <f t="array" ref="G5">IF(_xlfn.XLOOKUP(C5,customers!$A$1:$A$1001,customers!$C$1:$C$1001,_xleta.N/A,0)=0,"",_xlfn.XLOOKUP(C5,customers!$A$1:$A$1001,customers!$C$1:$C$1001,_xleta.N/A,0))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f t="shared" si="0"/>
        <v>27.5</v>
      </c>
      <c r="N5" t="str">
        <f t="shared" si="1"/>
        <v>Excelsa</v>
      </c>
      <c r="O5" t="str">
        <f t="shared" si="2"/>
        <v>Medium</v>
      </c>
      <c r="P5" t="str">
        <f>_xlfn.XLOOKUP(Table1[[#This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cm="1">
        <f t="array" ref="G6">IF(_xlfn.XLOOKUP(C6,customers!$A$1:$A$1001,customers!$C$1:$C$1001,_xleta.N/A,0)=0,"",_xlfn.XLOOKUP(C6,customers!$A$1:$A$1001,customers!$C$1:$C$1001,_xleta.N/A,0))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f t="shared" si="0"/>
        <v>54.969999999999992</v>
      </c>
      <c r="N6" t="str">
        <f t="shared" si="1"/>
        <v>Robusta</v>
      </c>
      <c r="O6" t="str">
        <f t="shared" si="2"/>
        <v>Large</v>
      </c>
      <c r="P6" t="str">
        <f>_xlfn.XLOOKUP(Table1[[#This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cm="1">
        <f t="array" ref="G7">IF(_xlfn.XLOOKUP(C7,customers!$A$1:$A$1001,customers!$C$1:$C$1001,_xleta.N/A,0)=0,"",_xlfn.XLOOKUP(C7,customers!$A$1:$A$1001,customers!$C$1:$C$1001,_xleta.N/A,0))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f t="shared" si="0"/>
        <v>38.849999999999994</v>
      </c>
      <c r="N7" t="str">
        <f t="shared" si="1"/>
        <v>Liberica</v>
      </c>
      <c r="O7" t="str">
        <f t="shared" si="2"/>
        <v>Dark</v>
      </c>
      <c r="P7" t="str">
        <f>_xlfn.XLOOKUP(Table1[[#This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cm="1">
        <f t="array" ref="G8">IF(_xlfn.XLOOKUP(C8,customers!$A$1:$A$1001,customers!$C$1:$C$1001,_xleta.N/A,0)=0,"",_xlfn.XLOOKUP(C8,customers!$A$1:$A$1001,customers!$C$1:$C$1001,_xleta.N/A,0))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f t="shared" si="0"/>
        <v>21.87</v>
      </c>
      <c r="N8" t="str">
        <f t="shared" si="1"/>
        <v>Excelsa</v>
      </c>
      <c r="O8" t="str">
        <f t="shared" si="2"/>
        <v>Dark</v>
      </c>
      <c r="P8" t="str">
        <f>_xlfn.XLOOKUP(Table1[[#This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cm="1">
        <f t="array" ref="G9">IF(_xlfn.XLOOKUP(C9,customers!$A$1:$A$1001,customers!$C$1:$C$1001,_xleta.N/A,0)=0,"",_xlfn.XLOOKUP(C9,customers!$A$1:$A$1001,customers!$C$1:$C$1001,_xleta.N/A,0))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f t="shared" si="0"/>
        <v>4.7549999999999999</v>
      </c>
      <c r="N9" t="str">
        <f t="shared" si="1"/>
        <v>Liberica</v>
      </c>
      <c r="O9" t="str">
        <f t="shared" si="2"/>
        <v>Large</v>
      </c>
      <c r="P9" t="str">
        <f>_xlfn.XLOOKUP(Table1[[#This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cm="1">
        <f t="array" ref="G10">IF(_xlfn.XLOOKUP(C10,customers!$A$1:$A$1001,customers!$C$1:$C$1001,_xleta.N/A,0)=0,"",_xlfn.XLOOKUP(C10,customers!$A$1:$A$1001,customers!$C$1:$C$1001,_xleta.N/A,0))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f t="shared" si="0"/>
        <v>17.91</v>
      </c>
      <c r="N10" t="str">
        <f t="shared" si="1"/>
        <v>Robusta</v>
      </c>
      <c r="O10" t="str">
        <f t="shared" si="2"/>
        <v>Medium</v>
      </c>
      <c r="P10" t="str">
        <f>_xlfn.XLOOKUP(Table1[[#This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cm="1">
        <f t="array" ref="G11">IF(_xlfn.XLOOKUP(C11,customers!$A$1:$A$1001,customers!$C$1:$C$1001,_xleta.N/A,0)=0,"",_xlfn.XLOOKUP(C11,customers!$A$1:$A$1001,customers!$C$1:$C$1001,_xleta.N/A,0))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f t="shared" si="0"/>
        <v>5.97</v>
      </c>
      <c r="N11" t="str">
        <f t="shared" si="1"/>
        <v>Robusta</v>
      </c>
      <c r="O11" t="str">
        <f t="shared" si="2"/>
        <v>Medium</v>
      </c>
      <c r="P11" t="str">
        <f>_xlfn.XLOOKUP(Table1[[#This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cm="1">
        <f t="array" ref="G12">IF(_xlfn.XLOOKUP(C12,customers!$A$1:$A$1001,customers!$C$1:$C$1001,_xleta.N/A,0)=0,"",_xlfn.XLOOKUP(C12,customers!$A$1:$A$1001,customers!$C$1:$C$1001,_xleta.N/A,0))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f t="shared" si="0"/>
        <v>39.799999999999997</v>
      </c>
      <c r="N12" t="str">
        <f t="shared" si="1"/>
        <v>Arabica</v>
      </c>
      <c r="O12" t="str">
        <f t="shared" si="2"/>
        <v>Dark</v>
      </c>
      <c r="P12" t="str">
        <f>_xlfn.XLOOKUP(Table1[[#This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cm="1">
        <f t="array" ref="G13">IF(_xlfn.XLOOKUP(C13,customers!$A$1:$A$1001,customers!$C$1:$C$1001,_xleta.N/A,0)=0,"",_xlfn.XLOOKUP(C13,customers!$A$1:$A$1001,customers!$C$1:$C$1001,_xleta.N/A,0))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f t="shared" si="0"/>
        <v>170.77499999999998</v>
      </c>
      <c r="N13" t="str">
        <f t="shared" si="1"/>
        <v>Excelsa</v>
      </c>
      <c r="O13" t="str">
        <f t="shared" si="2"/>
        <v>Large</v>
      </c>
      <c r="P13" t="str">
        <f>_xlfn.XLOOKUP(Table1[[#This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cm="1">
        <f t="array" ref="G14">IF(_xlfn.XLOOKUP(C14,customers!$A$1:$A$1001,customers!$C$1:$C$1001,_xleta.N/A,0)=0,"",_xlfn.XLOOKUP(C14,customers!$A$1:$A$1001,customers!$C$1:$C$1001,_xleta.N/A,0))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f t="shared" si="0"/>
        <v>49.75</v>
      </c>
      <c r="N14" t="str">
        <f t="shared" si="1"/>
        <v>Robusta</v>
      </c>
      <c r="O14" t="str">
        <f t="shared" si="2"/>
        <v>Medium</v>
      </c>
      <c r="P14" t="str">
        <f>_xlfn.XLOOKUP(Table1[[#This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cm="1">
        <f t="array" ref="G15">IF(_xlfn.XLOOKUP(C15,customers!$A$1:$A$1001,customers!$C$1:$C$1001,_xleta.N/A,0)=0,"",_xlfn.XLOOKUP(C15,customers!$A$1:$A$1001,customers!$C$1:$C$1001,_xleta.N/A,0))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f t="shared" si="0"/>
        <v>41.169999999999995</v>
      </c>
      <c r="N15" t="str">
        <f t="shared" si="1"/>
        <v>Robusta</v>
      </c>
      <c r="O15" t="str">
        <f t="shared" si="2"/>
        <v>Dark</v>
      </c>
      <c r="P15" t="str">
        <f>_xlfn.XLOOKUP(Table1[[#This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cm="1">
        <f t="array" ref="G16">IF(_xlfn.XLOOKUP(C16,customers!$A$1:$A$1001,customers!$C$1:$C$1001,_xleta.N/A,0)=0,"",_xlfn.XLOOKUP(C16,customers!$A$1:$A$1001,customers!$C$1:$C$1001,_xleta.N/A,0))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f t="shared" si="0"/>
        <v>11.654999999999999</v>
      </c>
      <c r="N16" t="str">
        <f t="shared" si="1"/>
        <v>Liberica</v>
      </c>
      <c r="O16" t="str">
        <f t="shared" si="2"/>
        <v>Dark</v>
      </c>
      <c r="P16" t="str">
        <f>_xlfn.XLOOKUP(Table1[[#This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cm="1">
        <f t="array" ref="G17">IF(_xlfn.XLOOKUP(C17,customers!$A$1:$A$1001,customers!$C$1:$C$1001,_xleta.N/A,0)=0,"",_xlfn.XLOOKUP(C17,customers!$A$1:$A$1001,customers!$C$1:$C$1001,_xleta.N/A,0))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f t="shared" si="0"/>
        <v>114.42499999999998</v>
      </c>
      <c r="N17" t="str">
        <f t="shared" si="1"/>
        <v>Robusta</v>
      </c>
      <c r="O17" t="str">
        <f t="shared" si="2"/>
        <v>Medium</v>
      </c>
      <c r="P17" t="str">
        <f>_xlfn.XLOOKUP(Table1[[#This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cm="1">
        <f t="array" ref="G18">IF(_xlfn.XLOOKUP(C18,customers!$A$1:$A$1001,customers!$C$1:$C$1001,_xleta.N/A,0)=0,"",_xlfn.XLOOKUP(C18,customers!$A$1:$A$1001,customers!$C$1:$C$1001,_xleta.N/A,0))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f t="shared" si="0"/>
        <v>20.25</v>
      </c>
      <c r="N18" t="str">
        <f t="shared" si="1"/>
        <v>Arabica</v>
      </c>
      <c r="O18" t="str">
        <f t="shared" si="2"/>
        <v>Medium</v>
      </c>
      <c r="P18" t="str">
        <f>_xlfn.XLOOKUP(Table1[[#This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cm="1">
        <f t="array" ref="G19">IF(_xlfn.XLOOKUP(C19,customers!$A$1:$A$1001,customers!$C$1:$C$1001,_xleta.N/A,0)=0,"",_xlfn.XLOOKUP(C19,customers!$A$1:$A$1001,customers!$C$1:$C$1001,_xleta.N/A,0))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f t="shared" si="0"/>
        <v>77.699999999999989</v>
      </c>
      <c r="N19" t="str">
        <f t="shared" si="1"/>
        <v>Arabica</v>
      </c>
      <c r="O19" t="str">
        <f t="shared" si="2"/>
        <v>Large</v>
      </c>
      <c r="P19" t="str">
        <f>_xlfn.XLOOKUP(Table1[[#This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cm="1">
        <f t="array" ref="G20">IF(_xlfn.XLOOKUP(C20,customers!$A$1:$A$1001,customers!$C$1:$C$1001,_xleta.N/A,0)=0,"",_xlfn.XLOOKUP(C20,customers!$A$1:$A$1001,customers!$C$1:$C$1001,_xleta.N/A,0))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f t="shared" si="0"/>
        <v>82.339999999999989</v>
      </c>
      <c r="N20" t="str">
        <f t="shared" si="1"/>
        <v>Robusta</v>
      </c>
      <c r="O20" t="str">
        <f t="shared" si="2"/>
        <v>Dark</v>
      </c>
      <c r="P20" t="str">
        <f>_xlfn.XLOOKUP(Table1[[#This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cm="1">
        <f t="array" ref="G21">IF(_xlfn.XLOOKUP(C21,customers!$A$1:$A$1001,customers!$C$1:$C$1001,_xleta.N/A,0)=0,"",_xlfn.XLOOKUP(C21,customers!$A$1:$A$1001,customers!$C$1:$C$1001,_xleta.N/A,0))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f t="shared" si="0"/>
        <v>16.875</v>
      </c>
      <c r="N21" t="str">
        <f t="shared" si="1"/>
        <v>Arabica</v>
      </c>
      <c r="O21" t="str">
        <f t="shared" si="2"/>
        <v>Medium</v>
      </c>
      <c r="P21" t="str">
        <f>_xlfn.XLOOKUP(Table1[[#This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cm="1">
        <f t="array" ref="G22">IF(_xlfn.XLOOKUP(C22,customers!$A$1:$A$1001,customers!$C$1:$C$1001,_xleta.N/A,0)=0,"",_xlfn.XLOOKUP(C22,customers!$A$1:$A$1001,customers!$C$1:$C$1001,_xleta.N/A,0))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f t="shared" si="0"/>
        <v>14.58</v>
      </c>
      <c r="N22" t="str">
        <f t="shared" si="1"/>
        <v>Excelsa</v>
      </c>
      <c r="O22" t="str">
        <f t="shared" si="2"/>
        <v>Dark</v>
      </c>
      <c r="P22" t="str">
        <f>_xlfn.XLOOKUP(Table1[[#This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cm="1">
        <f t="array" ref="G23">IF(_xlfn.XLOOKUP(C23,customers!$A$1:$A$1001,customers!$C$1:$C$1001,_xleta.N/A,0)=0,"",_xlfn.XLOOKUP(C23,customers!$A$1:$A$1001,customers!$C$1:$C$1001,_xleta.N/A,0))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f t="shared" si="0"/>
        <v>17.91</v>
      </c>
      <c r="N23" t="str">
        <f t="shared" si="1"/>
        <v>Arabica</v>
      </c>
      <c r="O23" t="str">
        <f t="shared" si="2"/>
        <v>Dark</v>
      </c>
      <c r="P23" t="str">
        <f>_xlfn.XLOOKUP(Table1[[#This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cm="1">
        <f t="array" ref="G24">IF(_xlfn.XLOOKUP(C24,customers!$A$1:$A$1001,customers!$C$1:$C$1001,_xleta.N/A,0)=0,"",_xlfn.XLOOKUP(C24,customers!$A$1:$A$1001,customers!$C$1:$C$1001,_xleta.N/A,0))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f t="shared" si="0"/>
        <v>91.539999999999992</v>
      </c>
      <c r="N24" t="str">
        <f t="shared" si="1"/>
        <v>Robusta</v>
      </c>
      <c r="O24" t="str">
        <f t="shared" si="2"/>
        <v>Medium</v>
      </c>
      <c r="P24" t="str">
        <f>_xlfn.XLOOKUP(Table1[[#This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cm="1">
        <f t="array" ref="G25">IF(_xlfn.XLOOKUP(C25,customers!$A$1:$A$1001,customers!$C$1:$C$1001,_xleta.N/A,0)=0,"",_xlfn.XLOOKUP(C25,customers!$A$1:$A$1001,customers!$C$1:$C$1001,_xleta.N/A,0))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f t="shared" si="0"/>
        <v>11.94</v>
      </c>
      <c r="N25" t="str">
        <f t="shared" si="1"/>
        <v>Arabica</v>
      </c>
      <c r="O25" t="str">
        <f t="shared" si="2"/>
        <v>Dark</v>
      </c>
      <c r="P25" t="str">
        <f>_xlfn.XLOOKUP(Table1[[#This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cm="1">
        <f t="array" ref="G26">IF(_xlfn.XLOOKUP(C26,customers!$A$1:$A$1001,customers!$C$1:$C$1001,_xleta.N/A,0)=0,"",_xlfn.XLOOKUP(C26,customers!$A$1:$A$1001,customers!$C$1:$C$1001,_xleta.N/A,0))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f t="shared" si="0"/>
        <v>11.25</v>
      </c>
      <c r="N26" t="str">
        <f t="shared" si="1"/>
        <v>Arabica</v>
      </c>
      <c r="O26" t="str">
        <f t="shared" si="2"/>
        <v>Medium</v>
      </c>
      <c r="P26" t="str">
        <f>_xlfn.XLOOKUP(Table1[[#This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cm="1">
        <f t="array" ref="G27">IF(_xlfn.XLOOKUP(C27,customers!$A$1:$A$1001,customers!$C$1:$C$1001,_xleta.N/A,0)=0,"",_xlfn.XLOOKUP(C27,customers!$A$1:$A$1001,customers!$C$1:$C$1001,_xleta.N/A,0))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f t="shared" si="0"/>
        <v>12.375</v>
      </c>
      <c r="N27" t="str">
        <f t="shared" si="1"/>
        <v>Excelsa</v>
      </c>
      <c r="O27" t="str">
        <f t="shared" si="2"/>
        <v>Medium</v>
      </c>
      <c r="P27" t="str">
        <f>_xlfn.XLOOKUP(Table1[[#This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cm="1">
        <f t="array" ref="G28">IF(_xlfn.XLOOKUP(C28,customers!$A$1:$A$1001,customers!$C$1:$C$1001,_xleta.N/A,0)=0,"",_xlfn.XLOOKUP(C28,customers!$A$1:$A$1001,customers!$C$1:$C$1001,_xleta.N/A,0))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f t="shared" si="0"/>
        <v>27</v>
      </c>
      <c r="N28" t="str">
        <f t="shared" si="1"/>
        <v>Arabica</v>
      </c>
      <c r="O28" t="str">
        <f t="shared" si="2"/>
        <v>Medium</v>
      </c>
      <c r="P28" t="str">
        <f>_xlfn.XLOOKUP(Table1[[#This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cm="1">
        <f t="array" ref="G29">IF(_xlfn.XLOOKUP(C29,customers!$A$1:$A$1001,customers!$C$1:$C$1001,_xleta.N/A,0)=0,"",_xlfn.XLOOKUP(C29,customers!$A$1:$A$1001,customers!$C$1:$C$1001,_xleta.N/A,0))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f t="shared" si="0"/>
        <v>16.875</v>
      </c>
      <c r="N29" t="str">
        <f t="shared" si="1"/>
        <v>Arabica</v>
      </c>
      <c r="O29" t="str">
        <f t="shared" si="2"/>
        <v>Medium</v>
      </c>
      <c r="P29" t="str">
        <f>_xlfn.XLOOKUP(Table1[[#This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cm="1">
        <f t="array" ref="G30">IF(_xlfn.XLOOKUP(C30,customers!$A$1:$A$1001,customers!$C$1:$C$1001,_xleta.N/A,0)=0,"",_xlfn.XLOOKUP(C30,customers!$A$1:$A$1001,customers!$C$1:$C$1001,_xleta.N/A,0))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f t="shared" si="0"/>
        <v>17.91</v>
      </c>
      <c r="N30" t="str">
        <f t="shared" si="1"/>
        <v>Arabica</v>
      </c>
      <c r="O30" t="str">
        <f t="shared" si="2"/>
        <v>Dark</v>
      </c>
      <c r="P30" t="str">
        <f>_xlfn.XLOOKUP(Table1[[#This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cm="1">
        <f t="array" ref="G31">IF(_xlfn.XLOOKUP(C31,customers!$A$1:$A$1001,customers!$C$1:$C$1001,_xleta.N/A,0)=0,"",_xlfn.XLOOKUP(C31,customers!$A$1:$A$1001,customers!$C$1:$C$1001,_xleta.N/A,0))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f t="shared" si="0"/>
        <v>39.799999999999997</v>
      </c>
      <c r="N31" t="str">
        <f t="shared" si="1"/>
        <v>Arabica</v>
      </c>
      <c r="O31" t="str">
        <f t="shared" si="2"/>
        <v>Dark</v>
      </c>
      <c r="P31" t="str">
        <f>_xlfn.XLOOKUP(Table1[[#This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cm="1">
        <f t="array" ref="G32">IF(_xlfn.XLOOKUP(C32,customers!$A$1:$A$1001,customers!$C$1:$C$1001,_xleta.N/A,0)=0,"",_xlfn.XLOOKUP(C32,customers!$A$1:$A$1001,customers!$C$1:$C$1001,_xleta.N/A,0))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f t="shared" si="0"/>
        <v>21.825000000000003</v>
      </c>
      <c r="N32" t="str">
        <f t="shared" si="1"/>
        <v>Liberica</v>
      </c>
      <c r="O32" t="str">
        <f t="shared" si="2"/>
        <v>Medium</v>
      </c>
      <c r="P32" t="str">
        <f>_xlfn.XLOOKUP(Table1[[#This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cm="1">
        <f t="array" ref="G33">IF(_xlfn.XLOOKUP(C33,customers!$A$1:$A$1001,customers!$C$1:$C$1001,_xleta.N/A,0)=0,"",_xlfn.XLOOKUP(C33,customers!$A$1:$A$1001,customers!$C$1:$C$1001,_xleta.N/A,0))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f t="shared" si="0"/>
        <v>35.82</v>
      </c>
      <c r="N33" t="str">
        <f t="shared" si="1"/>
        <v>Arabica</v>
      </c>
      <c r="O33" t="str">
        <f t="shared" si="2"/>
        <v>Dark</v>
      </c>
      <c r="P33" t="str">
        <f>_xlfn.XLOOKUP(Table1[[#This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cm="1">
        <f t="array" ref="G34">IF(_xlfn.XLOOKUP(C34,customers!$A$1:$A$1001,customers!$C$1:$C$1001,_xleta.N/A,0)=0,"",_xlfn.XLOOKUP(C34,customers!$A$1:$A$1001,customers!$C$1:$C$1001,_xleta.N/A,0))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f t="shared" si="0"/>
        <v>52.38</v>
      </c>
      <c r="N34" t="str">
        <f t="shared" si="1"/>
        <v>Liberica</v>
      </c>
      <c r="O34" t="str">
        <f t="shared" si="2"/>
        <v>Medium</v>
      </c>
      <c r="P34" t="str">
        <f>_xlfn.XLOOKUP(Table1[[#This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cm="1">
        <f t="array" ref="G35">IF(_xlfn.XLOOKUP(C35,customers!$A$1:$A$1001,customers!$C$1:$C$1001,_xleta.N/A,0)=0,"",_xlfn.XLOOKUP(C35,customers!$A$1:$A$1001,customers!$C$1:$C$1001,_xleta.N/A,0))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f t="shared" si="0"/>
        <v>23.774999999999999</v>
      </c>
      <c r="N35" t="str">
        <f t="shared" si="1"/>
        <v>Liberica</v>
      </c>
      <c r="O35" t="str">
        <f t="shared" si="2"/>
        <v>Large</v>
      </c>
      <c r="P35" t="str">
        <f>_xlfn.XLOOKUP(Table1[[#This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cm="1">
        <f t="array" ref="G36">IF(_xlfn.XLOOKUP(C36,customers!$A$1:$A$1001,customers!$C$1:$C$1001,_xleta.N/A,0)=0,"",_xlfn.XLOOKUP(C36,customers!$A$1:$A$1001,customers!$C$1:$C$1001,_xleta.N/A,0))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f t="shared" si="0"/>
        <v>57.06</v>
      </c>
      <c r="N36" t="str">
        <f t="shared" si="1"/>
        <v>Liberica</v>
      </c>
      <c r="O36" t="str">
        <f t="shared" si="2"/>
        <v>Large</v>
      </c>
      <c r="P36" t="str">
        <f>_xlfn.XLOOKUP(Table1[[#This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cm="1">
        <f t="array" ref="G37">IF(_xlfn.XLOOKUP(C37,customers!$A$1:$A$1001,customers!$C$1:$C$1001,_xleta.N/A,0)=0,"",_xlfn.XLOOKUP(C37,customers!$A$1:$A$1001,customers!$C$1:$C$1001,_xleta.N/A,0))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f t="shared" si="0"/>
        <v>35.82</v>
      </c>
      <c r="N37" t="str">
        <f t="shared" si="1"/>
        <v>Arabica</v>
      </c>
      <c r="O37" t="str">
        <f t="shared" si="2"/>
        <v>Dark</v>
      </c>
      <c r="P37" t="str">
        <f>_xlfn.XLOOKUP(Table1[[#This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cm="1">
        <f t="array" ref="G38">IF(_xlfn.XLOOKUP(C38,customers!$A$1:$A$1001,customers!$C$1:$C$1001,_xleta.N/A,0)=0,"",_xlfn.XLOOKUP(C38,customers!$A$1:$A$1001,customers!$C$1:$C$1001,_xleta.N/A,0))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f t="shared" si="0"/>
        <v>8.73</v>
      </c>
      <c r="N38" t="str">
        <f t="shared" si="1"/>
        <v>Liberica</v>
      </c>
      <c r="O38" t="str">
        <f t="shared" si="2"/>
        <v>Medium</v>
      </c>
      <c r="P38" t="str">
        <f>_xlfn.XLOOKUP(Table1[[#This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cm="1">
        <f t="array" ref="G39">IF(_xlfn.XLOOKUP(C39,customers!$A$1:$A$1001,customers!$C$1:$C$1001,_xleta.N/A,0)=0,"",_xlfn.XLOOKUP(C39,customers!$A$1:$A$1001,customers!$C$1:$C$1001,_xleta.N/A,0))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f t="shared" si="0"/>
        <v>28.53</v>
      </c>
      <c r="N39" t="str">
        <f t="shared" si="1"/>
        <v>Liberica</v>
      </c>
      <c r="O39" t="str">
        <f t="shared" si="2"/>
        <v>Large</v>
      </c>
      <c r="P39" t="str">
        <f>_xlfn.XLOOKUP(Table1[[#This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cm="1">
        <f t="array" ref="G40">IF(_xlfn.XLOOKUP(C40,customers!$A$1:$A$1001,customers!$C$1:$C$1001,_xleta.N/A,0)=0,"",_xlfn.XLOOKUP(C40,customers!$A$1:$A$1001,customers!$C$1:$C$1001,_xleta.N/A,0))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f t="shared" si="0"/>
        <v>114.42499999999998</v>
      </c>
      <c r="N40" t="str">
        <f t="shared" si="1"/>
        <v>Robusta</v>
      </c>
      <c r="O40" t="str">
        <f t="shared" si="2"/>
        <v>Medium</v>
      </c>
      <c r="P40" t="str">
        <f>_xlfn.XLOOKUP(Table1[[#This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cm="1">
        <f t="array" ref="G41">IF(_xlfn.XLOOKUP(C41,customers!$A$1:$A$1001,customers!$C$1:$C$1001,_xleta.N/A,0)=0,"",_xlfn.XLOOKUP(C41,customers!$A$1:$A$1001,customers!$C$1:$C$1001,_xleta.N/A,0))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f t="shared" si="0"/>
        <v>59.699999999999996</v>
      </c>
      <c r="N41" t="str">
        <f t="shared" si="1"/>
        <v>Robusta</v>
      </c>
      <c r="O41" t="str">
        <f t="shared" si="2"/>
        <v>Medium</v>
      </c>
      <c r="P41" t="str">
        <f>_xlfn.XLOOKUP(Table1[[#This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cm="1">
        <f t="array" ref="G42">IF(_xlfn.XLOOKUP(C42,customers!$A$1:$A$1001,customers!$C$1:$C$1001,_xleta.N/A,0)=0,"",_xlfn.XLOOKUP(C42,customers!$A$1:$A$1001,customers!$C$1:$C$1001,_xleta.N/A,0))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f t="shared" si="0"/>
        <v>43.650000000000006</v>
      </c>
      <c r="N42" t="str">
        <f t="shared" si="1"/>
        <v>Liberica</v>
      </c>
      <c r="O42" t="str">
        <f t="shared" si="2"/>
        <v>Medium</v>
      </c>
      <c r="P42" t="str">
        <f>_xlfn.XLOOKUP(Table1[[#This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cm="1">
        <f t="array" ref="G43">IF(_xlfn.XLOOKUP(C43,customers!$A$1:$A$1001,customers!$C$1:$C$1001,_xleta.N/A,0)=0,"",_xlfn.XLOOKUP(C43,customers!$A$1:$A$1001,customers!$C$1:$C$1001,_xleta.N/A,0))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f t="shared" si="0"/>
        <v>7.29</v>
      </c>
      <c r="N43" t="str">
        <f t="shared" si="1"/>
        <v>Excelsa</v>
      </c>
      <c r="O43" t="str">
        <f t="shared" si="2"/>
        <v>Dark</v>
      </c>
      <c r="P43" t="str">
        <f>_xlfn.XLOOKUP(Table1[[#This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cm="1">
        <f t="array" ref="G44">IF(_xlfn.XLOOKUP(C44,customers!$A$1:$A$1001,customers!$C$1:$C$1001,_xleta.N/A,0)=0,"",_xlfn.XLOOKUP(C44,customers!$A$1:$A$1001,customers!$C$1:$C$1001,_xleta.N/A,0))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f t="shared" si="0"/>
        <v>8.0549999999999997</v>
      </c>
      <c r="N44" t="str">
        <f t="shared" si="1"/>
        <v>Robusta</v>
      </c>
      <c r="O44" t="str">
        <f t="shared" si="2"/>
        <v>Dark</v>
      </c>
      <c r="P44" t="str">
        <f>_xlfn.XLOOKUP(Table1[[#This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cm="1">
        <f t="array" ref="G45">IF(_xlfn.XLOOKUP(C45,customers!$A$1:$A$1001,customers!$C$1:$C$1001,_xleta.N/A,0)=0,"",_xlfn.XLOOKUP(C45,customers!$A$1:$A$1001,customers!$C$1:$C$1001,_xleta.N/A,0))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f t="shared" si="0"/>
        <v>72.91</v>
      </c>
      <c r="N45" t="str">
        <f t="shared" si="1"/>
        <v>Liberica</v>
      </c>
      <c r="O45" t="str">
        <f t="shared" si="2"/>
        <v>Large</v>
      </c>
      <c r="P45" t="str">
        <f>_xlfn.XLOOKUP(Table1[[#This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cm="1">
        <f t="array" ref="G46">IF(_xlfn.XLOOKUP(C46,customers!$A$1:$A$1001,customers!$C$1:$C$1001,_xleta.N/A,0)=0,"",_xlfn.XLOOKUP(C46,customers!$A$1:$A$1001,customers!$C$1:$C$1001,_xleta.N/A,0))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f t="shared" si="0"/>
        <v>16.5</v>
      </c>
      <c r="N46" t="str">
        <f t="shared" si="1"/>
        <v>Excelsa</v>
      </c>
      <c r="O46" t="str">
        <f t="shared" si="2"/>
        <v>Medium</v>
      </c>
      <c r="P46" t="str">
        <f>_xlfn.XLOOKUP(Table1[[#This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cm="1">
        <f t="array" ref="G47">IF(_xlfn.XLOOKUP(C47,customers!$A$1:$A$1001,customers!$C$1:$C$1001,_xleta.N/A,0)=0,"",_xlfn.XLOOKUP(C47,customers!$A$1:$A$1001,customers!$C$1:$C$1001,_xleta.N/A,0))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f t="shared" si="0"/>
        <v>178.70999999999998</v>
      </c>
      <c r="N47" t="str">
        <f t="shared" si="1"/>
        <v>Liberica</v>
      </c>
      <c r="O47" t="str">
        <f t="shared" si="2"/>
        <v>Dark</v>
      </c>
      <c r="P47" t="str">
        <f>_xlfn.XLOOKUP(Table1[[#This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cm="1">
        <f t="array" ref="G48">IF(_xlfn.XLOOKUP(C48,customers!$A$1:$A$1001,customers!$C$1:$C$1001,_xleta.N/A,0)=0,"",_xlfn.XLOOKUP(C48,customers!$A$1:$A$1001,customers!$C$1:$C$1001,_xleta.N/A,0))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f t="shared" si="0"/>
        <v>63.249999999999993</v>
      </c>
      <c r="N48" t="str">
        <f t="shared" si="1"/>
        <v>Excelsa</v>
      </c>
      <c r="O48" t="str">
        <f t="shared" si="2"/>
        <v>Medium</v>
      </c>
      <c r="P48" t="str">
        <f>_xlfn.XLOOKUP(Table1[[#This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cm="1">
        <f t="array" ref="G49">IF(_xlfn.XLOOKUP(C49,customers!$A$1:$A$1001,customers!$C$1:$C$1001,_xleta.N/A,0)=0,"",_xlfn.XLOOKUP(C49,customers!$A$1:$A$1001,customers!$C$1:$C$1001,_xleta.N/A,0))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f t="shared" si="0"/>
        <v>7.77</v>
      </c>
      <c r="N49" t="str">
        <f t="shared" si="1"/>
        <v>Arabica</v>
      </c>
      <c r="O49" t="str">
        <f t="shared" si="2"/>
        <v>Large</v>
      </c>
      <c r="P49" t="str">
        <f>_xlfn.XLOOKUP(Table1[[#This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cm="1">
        <f t="array" ref="G50">IF(_xlfn.XLOOKUP(C50,customers!$A$1:$A$1001,customers!$C$1:$C$1001,_xleta.N/A,0)=0,"",_xlfn.XLOOKUP(C50,customers!$A$1:$A$1001,customers!$C$1:$C$1001,_xleta.N/A,0))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f t="shared" si="0"/>
        <v>91.539999999999992</v>
      </c>
      <c r="N50" t="str">
        <f t="shared" si="1"/>
        <v>Arabica</v>
      </c>
      <c r="O50" t="str">
        <f t="shared" si="2"/>
        <v>Dark</v>
      </c>
      <c r="P50" t="str">
        <f>_xlfn.XLOOKUP(Table1[[#This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cm="1">
        <f t="array" ref="G51">IF(_xlfn.XLOOKUP(C51,customers!$A$1:$A$1001,customers!$C$1:$C$1001,_xleta.N/A,0)=0,"",_xlfn.XLOOKUP(C51,customers!$A$1:$A$1001,customers!$C$1:$C$1001,_xleta.N/A,0))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f t="shared" si="0"/>
        <v>38.849999999999994</v>
      </c>
      <c r="N51" t="str">
        <f t="shared" si="1"/>
        <v>Arabica</v>
      </c>
      <c r="O51" t="str">
        <f t="shared" si="2"/>
        <v>Large</v>
      </c>
      <c r="P51" t="str">
        <f>_xlfn.XLOOKUP(Table1[[#This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cm="1">
        <f t="array" ref="G52">IF(_xlfn.XLOOKUP(C52,customers!$A$1:$A$1001,customers!$C$1:$C$1001,_xleta.N/A,0)=0,"",_xlfn.XLOOKUP(C52,customers!$A$1:$A$1001,customers!$C$1:$C$1001,_xleta.N/A,0))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f t="shared" si="0"/>
        <v>15.54</v>
      </c>
      <c r="N52" t="str">
        <f t="shared" si="1"/>
        <v>Liberica</v>
      </c>
      <c r="O52" t="str">
        <f t="shared" si="2"/>
        <v>Dark</v>
      </c>
      <c r="P52" t="str">
        <f>_xlfn.XLOOKUP(Table1[[#This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cm="1">
        <f t="array" ref="G53">IF(_xlfn.XLOOKUP(C53,customers!$A$1:$A$1001,customers!$C$1:$C$1001,_xleta.N/A,0)=0,"",_xlfn.XLOOKUP(C53,customers!$A$1:$A$1001,customers!$C$1:$C$1001,_xleta.N/A,0))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f t="shared" si="0"/>
        <v>145.82</v>
      </c>
      <c r="N53" t="str">
        <f t="shared" si="1"/>
        <v>Liberica</v>
      </c>
      <c r="O53" t="str">
        <f t="shared" si="2"/>
        <v>Large</v>
      </c>
      <c r="P53" t="str">
        <f>_xlfn.XLOOKUP(Table1[[#This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cm="1">
        <f t="array" ref="G54">IF(_xlfn.XLOOKUP(C54,customers!$A$1:$A$1001,customers!$C$1:$C$1001,_xleta.N/A,0)=0,"",_xlfn.XLOOKUP(C54,customers!$A$1:$A$1001,customers!$C$1:$C$1001,_xleta.N/A,0))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f t="shared" si="0"/>
        <v>29.849999999999998</v>
      </c>
      <c r="N54" t="str">
        <f t="shared" si="1"/>
        <v>Robusta</v>
      </c>
      <c r="O54" t="str">
        <f t="shared" si="2"/>
        <v>Medium</v>
      </c>
      <c r="P54" t="str">
        <f>_xlfn.XLOOKUP(Table1[[#This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cm="1">
        <f t="array" ref="G55">IF(_xlfn.XLOOKUP(C55,customers!$A$1:$A$1001,customers!$C$1:$C$1001,_xleta.N/A,0)=0,"",_xlfn.XLOOKUP(C55,customers!$A$1:$A$1001,customers!$C$1:$C$1001,_xleta.N/A,0))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f t="shared" si="0"/>
        <v>72.91</v>
      </c>
      <c r="N55" t="str">
        <f t="shared" si="1"/>
        <v>Liberica</v>
      </c>
      <c r="O55" t="str">
        <f t="shared" si="2"/>
        <v>Large</v>
      </c>
      <c r="P55" t="str">
        <f>_xlfn.XLOOKUP(Table1[[#This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cm="1">
        <f t="array" ref="G56">IF(_xlfn.XLOOKUP(C56,customers!$A$1:$A$1001,customers!$C$1:$C$1001,_xleta.N/A,0)=0,"",_xlfn.XLOOKUP(C56,customers!$A$1:$A$1001,customers!$C$1:$C$1001,_xleta.N/A,0))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f t="shared" si="0"/>
        <v>72.75</v>
      </c>
      <c r="N56" t="str">
        <f t="shared" si="1"/>
        <v>Liberica</v>
      </c>
      <c r="O56" t="str">
        <f t="shared" si="2"/>
        <v>Medium</v>
      </c>
      <c r="P56" t="str">
        <f>_xlfn.XLOOKUP(Table1[[#This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cm="1">
        <f t="array" ref="G57">IF(_xlfn.XLOOKUP(C57,customers!$A$1:$A$1001,customers!$C$1:$C$1001,_xleta.N/A,0)=0,"",_xlfn.XLOOKUP(C57,customers!$A$1:$A$1001,customers!$C$1:$C$1001,_xleta.N/A,0))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f t="shared" si="0"/>
        <v>47.55</v>
      </c>
      <c r="N57" t="str">
        <f t="shared" si="1"/>
        <v>Liberica</v>
      </c>
      <c r="O57" t="str">
        <f t="shared" si="2"/>
        <v>Large</v>
      </c>
      <c r="P57" t="str">
        <f>_xlfn.XLOOKUP(Table1[[#This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cm="1">
        <f t="array" ref="G58">IF(_xlfn.XLOOKUP(C58,customers!$A$1:$A$1001,customers!$C$1:$C$1001,_xleta.N/A,0)=0,"",_xlfn.XLOOKUP(C58,customers!$A$1:$A$1001,customers!$C$1:$C$1001,_xleta.N/A,0))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f t="shared" si="0"/>
        <v>10.935</v>
      </c>
      <c r="N58" t="str">
        <f t="shared" si="1"/>
        <v>Excelsa</v>
      </c>
      <c r="O58" t="str">
        <f t="shared" si="2"/>
        <v>Dark</v>
      </c>
      <c r="P58" t="str">
        <f>_xlfn.XLOOKUP(Table1[[#This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cm="1">
        <f t="array" ref="G59">IF(_xlfn.XLOOKUP(C59,customers!$A$1:$A$1001,customers!$C$1:$C$1001,_xleta.N/A,0)=0,"",_xlfn.XLOOKUP(C59,customers!$A$1:$A$1001,customers!$C$1:$C$1001,_xleta.N/A,0))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f t="shared" si="0"/>
        <v>59.4</v>
      </c>
      <c r="N59" t="str">
        <f t="shared" si="1"/>
        <v>Excelsa</v>
      </c>
      <c r="O59" t="str">
        <f t="shared" si="2"/>
        <v>Large</v>
      </c>
      <c r="P59" t="str">
        <f>_xlfn.XLOOKUP(Table1[[#This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cm="1">
        <f t="array" ref="G60">IF(_xlfn.XLOOKUP(C60,customers!$A$1:$A$1001,customers!$C$1:$C$1001,_xleta.N/A,0)=0,"",_xlfn.XLOOKUP(C60,customers!$A$1:$A$1001,customers!$C$1:$C$1001,_xleta.N/A,0))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f t="shared" si="0"/>
        <v>89.35499999999999</v>
      </c>
      <c r="N60" t="str">
        <f t="shared" si="1"/>
        <v>Liberica</v>
      </c>
      <c r="O60" t="str">
        <f t="shared" si="2"/>
        <v>Dark</v>
      </c>
      <c r="P60" t="str">
        <f>_xlfn.XLOOKUP(Table1[[#This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cm="1">
        <f t="array" ref="G61">IF(_xlfn.XLOOKUP(C61,customers!$A$1:$A$1001,customers!$C$1:$C$1001,_xleta.N/A,0)=0,"",_xlfn.XLOOKUP(C61,customers!$A$1:$A$1001,customers!$C$1:$C$1001,_xleta.N/A,0))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f t="shared" si="0"/>
        <v>26.19</v>
      </c>
      <c r="N61" t="str">
        <f t="shared" si="1"/>
        <v>Liberica</v>
      </c>
      <c r="O61" t="str">
        <f t="shared" si="2"/>
        <v>Medium</v>
      </c>
      <c r="P61" t="str">
        <f>_xlfn.XLOOKUP(Table1[[#This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cm="1">
        <f t="array" ref="G62">IF(_xlfn.XLOOKUP(C62,customers!$A$1:$A$1001,customers!$C$1:$C$1001,_xleta.N/A,0)=0,"",_xlfn.XLOOKUP(C62,customers!$A$1:$A$1001,customers!$C$1:$C$1001,_xleta.N/A,0))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f t="shared" si="0"/>
        <v>114.42499999999998</v>
      </c>
      <c r="N62" t="str">
        <f t="shared" si="1"/>
        <v>Arabica</v>
      </c>
      <c r="O62" t="str">
        <f t="shared" si="2"/>
        <v>Dark</v>
      </c>
      <c r="P62" t="str">
        <f>_xlfn.XLOOKUP(Table1[[#This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cm="1">
        <f t="array" ref="G63">IF(_xlfn.XLOOKUP(C63,customers!$A$1:$A$1001,customers!$C$1:$C$1001,_xleta.N/A,0)=0,"",_xlfn.XLOOKUP(C63,customers!$A$1:$A$1001,customers!$C$1:$C$1001,_xleta.N/A,0))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f t="shared" si="0"/>
        <v>26.849999999999994</v>
      </c>
      <c r="N63" t="str">
        <f t="shared" si="1"/>
        <v>Robusta</v>
      </c>
      <c r="O63" t="str">
        <f t="shared" si="2"/>
        <v>Dark</v>
      </c>
      <c r="P63" t="str">
        <f>_xlfn.XLOOKUP(Table1[[#This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cm="1">
        <f t="array" ref="G64">IF(_xlfn.XLOOKUP(C64,customers!$A$1:$A$1001,customers!$C$1:$C$1001,_xleta.N/A,0)=0,"",_xlfn.XLOOKUP(C64,customers!$A$1:$A$1001,customers!$C$1:$C$1001,_xleta.N/A,0))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f t="shared" si="0"/>
        <v>23.774999999999999</v>
      </c>
      <c r="N64" t="str">
        <f t="shared" si="1"/>
        <v>Liberica</v>
      </c>
      <c r="O64" t="str">
        <f t="shared" si="2"/>
        <v>Large</v>
      </c>
      <c r="P64" t="str">
        <f>_xlfn.XLOOKUP(Table1[[#This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cm="1">
        <f t="array" ref="G65">IF(_xlfn.XLOOKUP(C65,customers!$A$1:$A$1001,customers!$C$1:$C$1001,_xleta.N/A,0)=0,"",_xlfn.XLOOKUP(C65,customers!$A$1:$A$1001,customers!$C$1:$C$1001,_xleta.N/A,0))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f t="shared" si="0"/>
        <v>6.75</v>
      </c>
      <c r="N65" t="str">
        <f t="shared" si="1"/>
        <v>Arabica</v>
      </c>
      <c r="O65" t="str">
        <f t="shared" si="2"/>
        <v>Medium</v>
      </c>
      <c r="P65" t="str">
        <f>_xlfn.XLOOKUP(Table1[[#This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cm="1">
        <f t="array" ref="G66">IF(_xlfn.XLOOKUP(C66,customers!$A$1:$A$1001,customers!$C$1:$C$1001,_xleta.N/A,0)=0,"",_xlfn.XLOOKUP(C66,customers!$A$1:$A$1001,customers!$C$1:$C$1001,_xleta.N/A,0))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f t="shared" si="0"/>
        <v>35.82</v>
      </c>
      <c r="N66" t="str">
        <f t="shared" si="1"/>
        <v>Robusta</v>
      </c>
      <c r="O66" t="str">
        <f t="shared" si="2"/>
        <v>Medium</v>
      </c>
      <c r="P66" t="str">
        <f>_xlfn.XLOOKUP(Table1[[#This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cm="1">
        <f t="array" ref="G67">IF(_xlfn.XLOOKUP(C67,customers!$A$1:$A$1001,customers!$C$1:$C$1001,_xleta.N/A,0)=0,"",_xlfn.XLOOKUP(C67,customers!$A$1:$A$1001,customers!$C$1:$C$1001,_xleta.N/A,0))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f t="shared" ref="M67:M130" si="3">L67*E67</f>
        <v>82.339999999999989</v>
      </c>
      <c r="N67" t="str">
        <f t="shared" ref="N67:N130" si="4">IF(I67="ROB","Robusta",IF(I67="EXC","Excelsa",IF(I67="Ara","Arabica",IF(I67="lib","Liberica",""))))</f>
        <v>Robusta</v>
      </c>
      <c r="O67" t="str">
        <f t="shared" ref="O67:O130" si="5">IF(J67="M","Medium",IF(J67="L","Large",IF(J67="D","Dark","")))</f>
        <v>Dark</v>
      </c>
      <c r="P67" t="str">
        <f>_xlfn.XLOOKUP(Table1[[#This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cm="1">
        <f t="array" ref="G68">IF(_xlfn.XLOOKUP(C68,customers!$A$1:$A$1001,customers!$C$1:$C$1001,_xleta.N/A,0)=0,"",_xlfn.XLOOKUP(C68,customers!$A$1:$A$1001,customers!$C$1:$C$1001,_xleta.N/A,0))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f t="shared" si="3"/>
        <v>7.169999999999999</v>
      </c>
      <c r="N68" t="str">
        <f t="shared" si="4"/>
        <v>Robusta</v>
      </c>
      <c r="O68" t="str">
        <f t="shared" si="5"/>
        <v>Large</v>
      </c>
      <c r="P68" t="str">
        <f>_xlfn.XLOOKUP(Table1[[#This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cm="1">
        <f t="array" ref="G69">IF(_xlfn.XLOOKUP(C69,customers!$A$1:$A$1001,customers!$C$1:$C$1001,_xleta.N/A,0)=0,"",_xlfn.XLOOKUP(C69,customers!$A$1:$A$1001,customers!$C$1:$C$1001,_xleta.N/A,0))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f t="shared" si="3"/>
        <v>9.51</v>
      </c>
      <c r="N69" t="str">
        <f t="shared" si="4"/>
        <v>Liberica</v>
      </c>
      <c r="O69" t="str">
        <f t="shared" si="5"/>
        <v>Large</v>
      </c>
      <c r="P69" t="str">
        <f>_xlfn.XLOOKUP(Table1[[#This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cm="1">
        <f t="array" ref="G70">IF(_xlfn.XLOOKUP(C70,customers!$A$1:$A$1001,customers!$C$1:$C$1001,_xleta.N/A,0)=0,"",_xlfn.XLOOKUP(C70,customers!$A$1:$A$1001,customers!$C$1:$C$1001,_xleta.N/A,0))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f t="shared" si="3"/>
        <v>2.9849999999999999</v>
      </c>
      <c r="N70" t="str">
        <f t="shared" si="4"/>
        <v>Robusta</v>
      </c>
      <c r="O70" t="str">
        <f t="shared" si="5"/>
        <v>Medium</v>
      </c>
      <c r="P70" t="str">
        <f>_xlfn.XLOOKUP(Table1[[#This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cm="1">
        <f t="array" ref="G71">IF(_xlfn.XLOOKUP(C71,customers!$A$1:$A$1001,customers!$C$1:$C$1001,_xleta.N/A,0)=0,"",_xlfn.XLOOKUP(C71,customers!$A$1:$A$1001,customers!$C$1:$C$1001,_xleta.N/A,0))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f t="shared" si="3"/>
        <v>59.699999999999996</v>
      </c>
      <c r="N71" t="str">
        <f t="shared" si="4"/>
        <v>Robusta</v>
      </c>
      <c r="O71" t="str">
        <f t="shared" si="5"/>
        <v>Medium</v>
      </c>
      <c r="P71" t="str">
        <f>_xlfn.XLOOKUP(Table1[[#This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cm="1">
        <f t="array" ref="G72">IF(_xlfn.XLOOKUP(C72,customers!$A$1:$A$1001,customers!$C$1:$C$1001,_xleta.N/A,0)=0,"",_xlfn.XLOOKUP(C72,customers!$A$1:$A$1001,customers!$C$1:$C$1001,_xleta.N/A,0))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f t="shared" si="3"/>
        <v>136.61999999999998</v>
      </c>
      <c r="N72" t="str">
        <f t="shared" si="4"/>
        <v>Excelsa</v>
      </c>
      <c r="O72" t="str">
        <f t="shared" si="5"/>
        <v>Large</v>
      </c>
      <c r="P72" t="str">
        <f>_xlfn.XLOOKUP(Table1[[#This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cm="1">
        <f t="array" ref="G73">IF(_xlfn.XLOOKUP(C73,customers!$A$1:$A$1001,customers!$C$1:$C$1001,_xleta.N/A,0)=0,"",_xlfn.XLOOKUP(C73,customers!$A$1:$A$1001,customers!$C$1:$C$1001,_xleta.N/A,0))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f t="shared" si="3"/>
        <v>9.51</v>
      </c>
      <c r="N73" t="str">
        <f t="shared" si="4"/>
        <v>Liberica</v>
      </c>
      <c r="O73" t="str">
        <f t="shared" si="5"/>
        <v>Large</v>
      </c>
      <c r="P73" t="str">
        <f>_xlfn.XLOOKUP(Table1[[#This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cm="1">
        <f t="array" ref="G74">IF(_xlfn.XLOOKUP(C74,customers!$A$1:$A$1001,customers!$C$1:$C$1001,_xleta.N/A,0)=0,"",_xlfn.XLOOKUP(C74,customers!$A$1:$A$1001,customers!$C$1:$C$1001,_xleta.N/A,0))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f t="shared" si="3"/>
        <v>77.624999999999986</v>
      </c>
      <c r="N74" t="str">
        <f t="shared" si="4"/>
        <v>Arabica</v>
      </c>
      <c r="O74" t="str">
        <f t="shared" si="5"/>
        <v>Medium</v>
      </c>
      <c r="P74" t="str">
        <f>_xlfn.XLOOKUP(Table1[[#This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cm="1">
        <f t="array" ref="G75">IF(_xlfn.XLOOKUP(C75,customers!$A$1:$A$1001,customers!$C$1:$C$1001,_xleta.N/A,0)=0,"",_xlfn.XLOOKUP(C75,customers!$A$1:$A$1001,customers!$C$1:$C$1001,_xleta.N/A,0))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f t="shared" si="3"/>
        <v>21.825000000000003</v>
      </c>
      <c r="N75" t="str">
        <f t="shared" si="4"/>
        <v>Liberica</v>
      </c>
      <c r="O75" t="str">
        <f t="shared" si="5"/>
        <v>Medium</v>
      </c>
      <c r="P75" t="str">
        <f>_xlfn.XLOOKUP(Table1[[#This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cm="1">
        <f t="array" ref="G76">IF(_xlfn.XLOOKUP(C76,customers!$A$1:$A$1001,customers!$C$1:$C$1001,_xleta.N/A,0)=0,"",_xlfn.XLOOKUP(C76,customers!$A$1:$A$1001,customers!$C$1:$C$1001,_xleta.N/A,0))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f t="shared" si="3"/>
        <v>17.82</v>
      </c>
      <c r="N76" t="str">
        <f t="shared" si="4"/>
        <v>Excelsa</v>
      </c>
      <c r="O76" t="str">
        <f t="shared" si="5"/>
        <v>Large</v>
      </c>
      <c r="P76" t="str">
        <f>_xlfn.XLOOKUP(Table1[[#This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cm="1">
        <f t="array" ref="G77">IF(_xlfn.XLOOKUP(C77,customers!$A$1:$A$1001,customers!$C$1:$C$1001,_xleta.N/A,0)=0,"",_xlfn.XLOOKUP(C77,customers!$A$1:$A$1001,customers!$C$1:$C$1001,_xleta.N/A,0))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f t="shared" si="3"/>
        <v>53.699999999999996</v>
      </c>
      <c r="N77" t="str">
        <f t="shared" si="4"/>
        <v>Robusta</v>
      </c>
      <c r="O77" t="str">
        <f t="shared" si="5"/>
        <v>Dark</v>
      </c>
      <c r="P77" t="str">
        <f>_xlfn.XLOOKUP(Table1[[#This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cm="1">
        <f t="array" ref="G78">IF(_xlfn.XLOOKUP(C78,customers!$A$1:$A$1001,customers!$C$1:$C$1001,_xleta.N/A,0)=0,"",_xlfn.XLOOKUP(C78,customers!$A$1:$A$1001,customers!$C$1:$C$1001,_xleta.N/A,0))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f t="shared" si="3"/>
        <v>3.5849999999999995</v>
      </c>
      <c r="N78" t="str">
        <f t="shared" si="4"/>
        <v>Robusta</v>
      </c>
      <c r="O78" t="str">
        <f t="shared" si="5"/>
        <v>Large</v>
      </c>
      <c r="P78" t="str">
        <f>_xlfn.XLOOKUP(Table1[[#This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cm="1">
        <f t="array" ref="G79">IF(_xlfn.XLOOKUP(C79,customers!$A$1:$A$1001,customers!$C$1:$C$1001,_xleta.N/A,0)=0,"",_xlfn.XLOOKUP(C79,customers!$A$1:$A$1001,customers!$C$1:$C$1001,_xleta.N/A,0))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f t="shared" si="3"/>
        <v>7.29</v>
      </c>
      <c r="N79" t="str">
        <f t="shared" si="4"/>
        <v>Excelsa</v>
      </c>
      <c r="O79" t="str">
        <f t="shared" si="5"/>
        <v>Dark</v>
      </c>
      <c r="P79" t="str">
        <f>_xlfn.XLOOKUP(Table1[[#This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cm="1">
        <f t="array" ref="G80">IF(_xlfn.XLOOKUP(C80,customers!$A$1:$A$1001,customers!$C$1:$C$1001,_xleta.N/A,0)=0,"",_xlfn.XLOOKUP(C80,customers!$A$1:$A$1001,customers!$C$1:$C$1001,_xleta.N/A,0))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f t="shared" si="3"/>
        <v>40.5</v>
      </c>
      <c r="N80" t="str">
        <f t="shared" si="4"/>
        <v>Arabica</v>
      </c>
      <c r="O80" t="str">
        <f t="shared" si="5"/>
        <v>Medium</v>
      </c>
      <c r="P80" t="str">
        <f>_xlfn.XLOOKUP(Table1[[#This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cm="1">
        <f t="array" ref="G81">IF(_xlfn.XLOOKUP(C81,customers!$A$1:$A$1001,customers!$C$1:$C$1001,_xleta.N/A,0)=0,"",_xlfn.XLOOKUP(C81,customers!$A$1:$A$1001,customers!$C$1:$C$1001,_xleta.N/A,0))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f t="shared" si="3"/>
        <v>47.8</v>
      </c>
      <c r="N81" t="str">
        <f t="shared" si="4"/>
        <v>Robusta</v>
      </c>
      <c r="O81" t="str">
        <f t="shared" si="5"/>
        <v>Large</v>
      </c>
      <c r="P81" t="str">
        <f>_xlfn.XLOOKUP(Table1[[#This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cm="1">
        <f t="array" ref="G82">IF(_xlfn.XLOOKUP(C82,customers!$A$1:$A$1001,customers!$C$1:$C$1001,_xleta.N/A,0)=0,"",_xlfn.XLOOKUP(C82,customers!$A$1:$A$1001,customers!$C$1:$C$1001,_xleta.N/A,0))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f t="shared" si="3"/>
        <v>38.849999999999994</v>
      </c>
      <c r="N82" t="str">
        <f t="shared" si="4"/>
        <v>Arabica</v>
      </c>
      <c r="O82" t="str">
        <f t="shared" si="5"/>
        <v>Large</v>
      </c>
      <c r="P82" t="str">
        <f>_xlfn.XLOOKUP(Table1[[#This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cm="1">
        <f t="array" ref="G83">IF(_xlfn.XLOOKUP(C83,customers!$A$1:$A$1001,customers!$C$1:$C$1001,_xleta.N/A,0)=0,"",_xlfn.XLOOKUP(C83,customers!$A$1:$A$1001,customers!$C$1:$C$1001,_xleta.N/A,0))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f t="shared" si="3"/>
        <v>109.36499999999999</v>
      </c>
      <c r="N83" t="str">
        <f t="shared" si="4"/>
        <v>Liberica</v>
      </c>
      <c r="O83" t="str">
        <f t="shared" si="5"/>
        <v>Large</v>
      </c>
      <c r="P83" t="str">
        <f>_xlfn.XLOOKUP(Table1[[#This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cm="1">
        <f t="array" ref="G84">IF(_xlfn.XLOOKUP(C84,customers!$A$1:$A$1001,customers!$C$1:$C$1001,_xleta.N/A,0)=0,"",_xlfn.XLOOKUP(C84,customers!$A$1:$A$1001,customers!$C$1:$C$1001,_xleta.N/A,0))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f t="shared" si="3"/>
        <v>100.39499999999998</v>
      </c>
      <c r="N84" t="str">
        <f t="shared" si="4"/>
        <v>Liberica</v>
      </c>
      <c r="O84" t="str">
        <f t="shared" si="5"/>
        <v>Medium</v>
      </c>
      <c r="P84" t="str">
        <f>_xlfn.XLOOKUP(Table1[[#This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cm="1">
        <f t="array" ref="G85">IF(_xlfn.XLOOKUP(C85,customers!$A$1:$A$1001,customers!$C$1:$C$1001,_xleta.N/A,0)=0,"",_xlfn.XLOOKUP(C85,customers!$A$1:$A$1001,customers!$C$1:$C$1001,_xleta.N/A,0))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f t="shared" si="3"/>
        <v>82.339999999999989</v>
      </c>
      <c r="N85" t="str">
        <f t="shared" si="4"/>
        <v>Robusta</v>
      </c>
      <c r="O85" t="str">
        <f t="shared" si="5"/>
        <v>Dark</v>
      </c>
      <c r="P85" t="str">
        <f>_xlfn.XLOOKUP(Table1[[#This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cm="1">
        <f t="array" ref="G86">IF(_xlfn.XLOOKUP(C86,customers!$A$1:$A$1001,customers!$C$1:$C$1001,_xleta.N/A,0)=0,"",_xlfn.XLOOKUP(C86,customers!$A$1:$A$1001,customers!$C$1:$C$1001,_xleta.N/A,0))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f t="shared" si="3"/>
        <v>9.51</v>
      </c>
      <c r="N86" t="str">
        <f t="shared" si="4"/>
        <v>Liberica</v>
      </c>
      <c r="O86" t="str">
        <f t="shared" si="5"/>
        <v>Large</v>
      </c>
      <c r="P86" t="str">
        <f>_xlfn.XLOOKUP(Table1[[#This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cm="1">
        <f t="array" ref="G87">IF(_xlfn.XLOOKUP(C87,customers!$A$1:$A$1001,customers!$C$1:$C$1001,_xleta.N/A,0)=0,"",_xlfn.XLOOKUP(C87,customers!$A$1:$A$1001,customers!$C$1:$C$1001,_xleta.N/A,0))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f t="shared" si="3"/>
        <v>89.35499999999999</v>
      </c>
      <c r="N87" t="str">
        <f t="shared" si="4"/>
        <v>Arabica</v>
      </c>
      <c r="O87" t="str">
        <f t="shared" si="5"/>
        <v>Large</v>
      </c>
      <c r="P87" t="str">
        <f>_xlfn.XLOOKUP(Table1[[#This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cm="1">
        <f t="array" ref="G88">IF(_xlfn.XLOOKUP(C88,customers!$A$1:$A$1001,customers!$C$1:$C$1001,_xleta.N/A,0)=0,"",_xlfn.XLOOKUP(C88,customers!$A$1:$A$1001,customers!$C$1:$C$1001,_xleta.N/A,0))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f t="shared" si="3"/>
        <v>11.94</v>
      </c>
      <c r="N88" t="str">
        <f t="shared" si="4"/>
        <v>Arabica</v>
      </c>
      <c r="O88" t="str">
        <f t="shared" si="5"/>
        <v>Dark</v>
      </c>
      <c r="P88" t="str">
        <f>_xlfn.XLOOKUP(Table1[[#This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cm="1">
        <f t="array" ref="G89">IF(_xlfn.XLOOKUP(C89,customers!$A$1:$A$1001,customers!$C$1:$C$1001,_xleta.N/A,0)=0,"",_xlfn.XLOOKUP(C89,customers!$A$1:$A$1001,customers!$C$1:$C$1001,_xleta.N/A,0))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f t="shared" si="3"/>
        <v>33.75</v>
      </c>
      <c r="N89" t="str">
        <f t="shared" si="4"/>
        <v>Arabica</v>
      </c>
      <c r="O89" t="str">
        <f t="shared" si="5"/>
        <v>Medium</v>
      </c>
      <c r="P89" t="str">
        <f>_xlfn.XLOOKUP(Table1[[#This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cm="1">
        <f t="array" ref="G90">IF(_xlfn.XLOOKUP(C90,customers!$A$1:$A$1001,customers!$C$1:$C$1001,_xleta.N/A,0)=0,"",_xlfn.XLOOKUP(C90,customers!$A$1:$A$1001,customers!$C$1:$C$1001,_xleta.N/A,0))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f t="shared" si="3"/>
        <v>35.849999999999994</v>
      </c>
      <c r="N90" t="str">
        <f t="shared" si="4"/>
        <v>Robusta</v>
      </c>
      <c r="O90" t="str">
        <f t="shared" si="5"/>
        <v>Large</v>
      </c>
      <c r="P90" t="str">
        <f>_xlfn.XLOOKUP(Table1[[#This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cm="1">
        <f t="array" ref="G91">IF(_xlfn.XLOOKUP(C91,customers!$A$1:$A$1001,customers!$C$1:$C$1001,_xleta.N/A,0)=0,"",_xlfn.XLOOKUP(C91,customers!$A$1:$A$1001,customers!$C$1:$C$1001,_xleta.N/A,0))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f t="shared" si="3"/>
        <v>77.699999999999989</v>
      </c>
      <c r="N91" t="str">
        <f t="shared" si="4"/>
        <v>Arabica</v>
      </c>
      <c r="O91" t="str">
        <f t="shared" si="5"/>
        <v>Large</v>
      </c>
      <c r="P91" t="str">
        <f>_xlfn.XLOOKUP(Table1[[#This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cm="1">
        <f t="array" ref="G92">IF(_xlfn.XLOOKUP(C92,customers!$A$1:$A$1001,customers!$C$1:$C$1001,_xleta.N/A,0)=0,"",_xlfn.XLOOKUP(C92,customers!$A$1:$A$1001,customers!$C$1:$C$1001,_xleta.N/A,0))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f t="shared" si="3"/>
        <v>51.8</v>
      </c>
      <c r="N92" t="str">
        <f t="shared" si="4"/>
        <v>Arabica</v>
      </c>
      <c r="O92" t="str">
        <f t="shared" si="5"/>
        <v>Large</v>
      </c>
      <c r="P92" t="str">
        <f>_xlfn.XLOOKUP(Table1[[#This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cm="1">
        <f t="array" ref="G93">IF(_xlfn.XLOOKUP(C93,customers!$A$1:$A$1001,customers!$C$1:$C$1001,_xleta.N/A,0)=0,"",_xlfn.XLOOKUP(C93,customers!$A$1:$A$1001,customers!$C$1:$C$1001,_xleta.N/A,0))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f t="shared" si="3"/>
        <v>103.49999999999999</v>
      </c>
      <c r="N93" t="str">
        <f t="shared" si="4"/>
        <v>Arabica</v>
      </c>
      <c r="O93" t="str">
        <f t="shared" si="5"/>
        <v>Medium</v>
      </c>
      <c r="P93" t="str">
        <f>_xlfn.XLOOKUP(Table1[[#This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cm="1">
        <f t="array" ref="G94">IF(_xlfn.XLOOKUP(C94,customers!$A$1:$A$1001,customers!$C$1:$C$1001,_xleta.N/A,0)=0,"",_xlfn.XLOOKUP(C94,customers!$A$1:$A$1001,customers!$C$1:$C$1001,_xleta.N/A,0))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f t="shared" si="3"/>
        <v>44.55</v>
      </c>
      <c r="N94" t="str">
        <f t="shared" si="4"/>
        <v>Excelsa</v>
      </c>
      <c r="O94" t="str">
        <f t="shared" si="5"/>
        <v>Large</v>
      </c>
      <c r="P94" t="str">
        <f>_xlfn.XLOOKUP(Table1[[#This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cm="1">
        <f t="array" ref="G95">IF(_xlfn.XLOOKUP(C95,customers!$A$1:$A$1001,customers!$C$1:$C$1001,_xleta.N/A,0)=0,"",_xlfn.XLOOKUP(C95,customers!$A$1:$A$1001,customers!$C$1:$C$1001,_xleta.N/A,0))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f t="shared" si="3"/>
        <v>35.64</v>
      </c>
      <c r="N95" t="str">
        <f t="shared" si="4"/>
        <v>Excelsa</v>
      </c>
      <c r="O95" t="str">
        <f t="shared" si="5"/>
        <v>Large</v>
      </c>
      <c r="P95" t="str">
        <f>_xlfn.XLOOKUP(Table1[[#This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cm="1">
        <f t="array" ref="G96">IF(_xlfn.XLOOKUP(C96,customers!$A$1:$A$1001,customers!$C$1:$C$1001,_xleta.N/A,0)=0,"",_xlfn.XLOOKUP(C96,customers!$A$1:$A$1001,customers!$C$1:$C$1001,_xleta.N/A,0))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f t="shared" si="3"/>
        <v>17.91</v>
      </c>
      <c r="N96" t="str">
        <f t="shared" si="4"/>
        <v>Arabica</v>
      </c>
      <c r="O96" t="str">
        <f t="shared" si="5"/>
        <v>Dark</v>
      </c>
      <c r="P96" t="str">
        <f>_xlfn.XLOOKUP(Table1[[#This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cm="1">
        <f t="array" ref="G97">IF(_xlfn.XLOOKUP(C97,customers!$A$1:$A$1001,customers!$C$1:$C$1001,_xleta.N/A,0)=0,"",_xlfn.XLOOKUP(C97,customers!$A$1:$A$1001,customers!$C$1:$C$1001,_xleta.N/A,0))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f t="shared" si="3"/>
        <v>155.24999999999997</v>
      </c>
      <c r="N97" t="str">
        <f t="shared" si="4"/>
        <v>Arabica</v>
      </c>
      <c r="O97" t="str">
        <f t="shared" si="5"/>
        <v>Medium</v>
      </c>
      <c r="P97" t="str">
        <f>_xlfn.XLOOKUP(Table1[[#This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cm="1">
        <f t="array" ref="G98">IF(_xlfn.XLOOKUP(C98,customers!$A$1:$A$1001,customers!$C$1:$C$1001,_xleta.N/A,0)=0,"",_xlfn.XLOOKUP(C98,customers!$A$1:$A$1001,customers!$C$1:$C$1001,_xleta.N/A,0))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f t="shared" si="3"/>
        <v>5.97</v>
      </c>
      <c r="N98" t="str">
        <f t="shared" si="4"/>
        <v>Arabica</v>
      </c>
      <c r="O98" t="str">
        <f t="shared" si="5"/>
        <v>Dark</v>
      </c>
      <c r="P98" t="str">
        <f>_xlfn.XLOOKUP(Table1[[#This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cm="1">
        <f t="array" ref="G99">IF(_xlfn.XLOOKUP(C99,customers!$A$1:$A$1001,customers!$C$1:$C$1001,_xleta.N/A,0)=0,"",_xlfn.XLOOKUP(C99,customers!$A$1:$A$1001,customers!$C$1:$C$1001,_xleta.N/A,0))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f t="shared" si="3"/>
        <v>13.5</v>
      </c>
      <c r="N99" t="str">
        <f t="shared" si="4"/>
        <v>Arabica</v>
      </c>
      <c r="O99" t="str">
        <f t="shared" si="5"/>
        <v>Medium</v>
      </c>
      <c r="P99" t="str">
        <f>_xlfn.XLOOKUP(Table1[[#This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cm="1">
        <f t="array" ref="G100">IF(_xlfn.XLOOKUP(C100,customers!$A$1:$A$1001,customers!$C$1:$C$1001,_xleta.N/A,0)=0,"",_xlfn.XLOOKUP(C100,customers!$A$1:$A$1001,customers!$C$1:$C$1001,_xleta.N/A,0))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f t="shared" si="3"/>
        <v>2.9849999999999999</v>
      </c>
      <c r="N100" t="str">
        <f t="shared" si="4"/>
        <v>Arabica</v>
      </c>
      <c r="O100" t="str">
        <f t="shared" si="5"/>
        <v>Dark</v>
      </c>
      <c r="P100" t="str">
        <f>_xlfn.XLOOKUP(Table1[[#This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cm="1">
        <f t="array" ref="G101">IF(_xlfn.XLOOKUP(C101,customers!$A$1:$A$1001,customers!$C$1:$C$1001,_xleta.N/A,0)=0,"",_xlfn.XLOOKUP(C101,customers!$A$1:$A$1001,customers!$C$1:$C$1001,_xleta.N/A,0))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f t="shared" si="3"/>
        <v>13.095000000000001</v>
      </c>
      <c r="N101" t="str">
        <f t="shared" si="4"/>
        <v>Liberica</v>
      </c>
      <c r="O101" t="str">
        <f t="shared" si="5"/>
        <v>Medium</v>
      </c>
      <c r="P101" t="str">
        <f>_xlfn.XLOOKUP(Table1[[#This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cm="1">
        <f t="array" ref="G102">IF(_xlfn.XLOOKUP(C102,customers!$A$1:$A$1001,customers!$C$1:$C$1001,_xleta.N/A,0)=0,"",_xlfn.XLOOKUP(C102,customers!$A$1:$A$1001,customers!$C$1:$C$1001,_xleta.N/A,0))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f t="shared" si="3"/>
        <v>7.77</v>
      </c>
      <c r="N102" t="str">
        <f t="shared" si="4"/>
        <v>Arabica</v>
      </c>
      <c r="O102" t="str">
        <f t="shared" si="5"/>
        <v>Large</v>
      </c>
      <c r="P102" t="str">
        <f>_xlfn.XLOOKUP(Table1[[#This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cm="1">
        <f t="array" ref="G103">IF(_xlfn.XLOOKUP(C103,customers!$A$1:$A$1001,customers!$C$1:$C$1001,_xleta.N/A,0)=0,"",_xlfn.XLOOKUP(C103,customers!$A$1:$A$1001,customers!$C$1:$C$1001,_xleta.N/A,0))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f t="shared" si="3"/>
        <v>148.92499999999998</v>
      </c>
      <c r="N103" t="str">
        <f t="shared" si="4"/>
        <v>Liberica</v>
      </c>
      <c r="O103" t="str">
        <f t="shared" si="5"/>
        <v>Dark</v>
      </c>
      <c r="P103" t="str">
        <f>_xlfn.XLOOKUP(Table1[[#This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cm="1">
        <f t="array" ref="G104">IF(_xlfn.XLOOKUP(C104,customers!$A$1:$A$1001,customers!$C$1:$C$1001,_xleta.N/A,0)=0,"",_xlfn.XLOOKUP(C104,customers!$A$1:$A$1001,customers!$C$1:$C$1001,_xleta.N/A,0))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f t="shared" si="3"/>
        <v>38.849999999999994</v>
      </c>
      <c r="N104" t="str">
        <f t="shared" si="4"/>
        <v>Liberica</v>
      </c>
      <c r="O104" t="str">
        <f t="shared" si="5"/>
        <v>Dark</v>
      </c>
      <c r="P104" t="str">
        <f>_xlfn.XLOOKUP(Table1[[#This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cm="1">
        <f t="array" ref="G105">IF(_xlfn.XLOOKUP(C105,customers!$A$1:$A$1001,customers!$C$1:$C$1001,_xleta.N/A,0)=0,"",_xlfn.XLOOKUP(C105,customers!$A$1:$A$1001,customers!$C$1:$C$1001,_xleta.N/A,0))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f t="shared" si="3"/>
        <v>11.94</v>
      </c>
      <c r="N105" t="str">
        <f t="shared" si="4"/>
        <v>Robusta</v>
      </c>
      <c r="O105" t="str">
        <f t="shared" si="5"/>
        <v>Medium</v>
      </c>
      <c r="P105" t="str">
        <f>_xlfn.XLOOKUP(Table1[[#This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cm="1">
        <f t="array" ref="G106">IF(_xlfn.XLOOKUP(C106,customers!$A$1:$A$1001,customers!$C$1:$C$1001,_xleta.N/A,0)=0,"",_xlfn.XLOOKUP(C106,customers!$A$1:$A$1001,customers!$C$1:$C$1001,_xleta.N/A,0))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f t="shared" si="3"/>
        <v>87.300000000000011</v>
      </c>
      <c r="N106" t="str">
        <f t="shared" si="4"/>
        <v>Liberica</v>
      </c>
      <c r="O106" t="str">
        <f t="shared" si="5"/>
        <v>Medium</v>
      </c>
      <c r="P106" t="str">
        <f>_xlfn.XLOOKUP(Table1[[#This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cm="1">
        <f t="array" ref="G107">IF(_xlfn.XLOOKUP(C107,customers!$A$1:$A$1001,customers!$C$1:$C$1001,_xleta.N/A,0)=0,"",_xlfn.XLOOKUP(C107,customers!$A$1:$A$1001,customers!$C$1:$C$1001,_xleta.N/A,0))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f t="shared" si="3"/>
        <v>40.5</v>
      </c>
      <c r="N107" t="str">
        <f t="shared" si="4"/>
        <v>Arabica</v>
      </c>
      <c r="O107" t="str">
        <f t="shared" si="5"/>
        <v>Medium</v>
      </c>
      <c r="P107" t="str">
        <f>_xlfn.XLOOKUP(Table1[[#This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cm="1">
        <f t="array" ref="G108">IF(_xlfn.XLOOKUP(C108,customers!$A$1:$A$1001,customers!$C$1:$C$1001,_xleta.N/A,0)=0,"",_xlfn.XLOOKUP(C108,customers!$A$1:$A$1001,customers!$C$1:$C$1001,_xleta.N/A,0))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f t="shared" si="3"/>
        <v>24.3</v>
      </c>
      <c r="N108" t="str">
        <f t="shared" si="4"/>
        <v>Excelsa</v>
      </c>
      <c r="O108" t="str">
        <f t="shared" si="5"/>
        <v>Dark</v>
      </c>
      <c r="P108" t="str">
        <f>_xlfn.XLOOKUP(Table1[[#This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cm="1">
        <f t="array" ref="G109">IF(_xlfn.XLOOKUP(C109,customers!$A$1:$A$1001,customers!$C$1:$C$1001,_xleta.N/A,0)=0,"",_xlfn.XLOOKUP(C109,customers!$A$1:$A$1001,customers!$C$1:$C$1001,_xleta.N/A,0))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f t="shared" si="3"/>
        <v>17.91</v>
      </c>
      <c r="N109" t="str">
        <f t="shared" si="4"/>
        <v>Robusta</v>
      </c>
      <c r="O109" t="str">
        <f t="shared" si="5"/>
        <v>Medium</v>
      </c>
      <c r="P109" t="str">
        <f>_xlfn.XLOOKUP(Table1[[#This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cm="1">
        <f t="array" ref="G110">IF(_xlfn.XLOOKUP(C110,customers!$A$1:$A$1001,customers!$C$1:$C$1001,_xleta.N/A,0)=0,"",_xlfn.XLOOKUP(C110,customers!$A$1:$A$1001,customers!$C$1:$C$1001,_xleta.N/A,0))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f t="shared" si="3"/>
        <v>27</v>
      </c>
      <c r="N110" t="str">
        <f t="shared" si="4"/>
        <v>Arabica</v>
      </c>
      <c r="O110" t="str">
        <f t="shared" si="5"/>
        <v>Medium</v>
      </c>
      <c r="P110" t="str">
        <f>_xlfn.XLOOKUP(Table1[[#This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cm="1">
        <f t="array" ref="G111">IF(_xlfn.XLOOKUP(C111,customers!$A$1:$A$1001,customers!$C$1:$C$1001,_xleta.N/A,0)=0,"",_xlfn.XLOOKUP(C111,customers!$A$1:$A$1001,customers!$C$1:$C$1001,_xleta.N/A,0))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f t="shared" si="3"/>
        <v>7.77</v>
      </c>
      <c r="N111" t="str">
        <f t="shared" si="4"/>
        <v>Liberica</v>
      </c>
      <c r="O111" t="str">
        <f t="shared" si="5"/>
        <v>Dark</v>
      </c>
      <c r="P111" t="str">
        <f>_xlfn.XLOOKUP(Table1[[#This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cm="1">
        <f t="array" ref="G112">IF(_xlfn.XLOOKUP(C112,customers!$A$1:$A$1001,customers!$C$1:$C$1001,_xleta.N/A,0)=0,"",_xlfn.XLOOKUP(C112,customers!$A$1:$A$1001,customers!$C$1:$C$1001,_xleta.N/A,0))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f t="shared" si="3"/>
        <v>13.365</v>
      </c>
      <c r="N112" t="str">
        <f t="shared" si="4"/>
        <v>Excelsa</v>
      </c>
      <c r="O112" t="str">
        <f t="shared" si="5"/>
        <v>Large</v>
      </c>
      <c r="P112" t="str">
        <f>_xlfn.XLOOKUP(Table1[[#This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cm="1">
        <f t="array" ref="G113">IF(_xlfn.XLOOKUP(C113,customers!$A$1:$A$1001,customers!$C$1:$C$1001,_xleta.N/A,0)=0,"",_xlfn.XLOOKUP(C113,customers!$A$1:$A$1001,customers!$C$1:$C$1001,_xleta.N/A,0))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f t="shared" si="3"/>
        <v>26.849999999999994</v>
      </c>
      <c r="N113" t="str">
        <f t="shared" si="4"/>
        <v>Robusta</v>
      </c>
      <c r="O113" t="str">
        <f t="shared" si="5"/>
        <v>Dark</v>
      </c>
      <c r="P113" t="str">
        <f>_xlfn.XLOOKUP(Table1[[#This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cm="1">
        <f t="array" ref="G114">IF(_xlfn.XLOOKUP(C114,customers!$A$1:$A$1001,customers!$C$1:$C$1001,_xleta.N/A,0)=0,"",_xlfn.XLOOKUP(C114,customers!$A$1:$A$1001,customers!$C$1:$C$1001,_xleta.N/A,0))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f t="shared" si="3"/>
        <v>11.25</v>
      </c>
      <c r="N114" t="str">
        <f t="shared" si="4"/>
        <v>Arabica</v>
      </c>
      <c r="O114" t="str">
        <f t="shared" si="5"/>
        <v>Medium</v>
      </c>
      <c r="P114" t="str">
        <f>_xlfn.XLOOKUP(Table1[[#This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cm="1">
        <f t="array" ref="G115">IF(_xlfn.XLOOKUP(C115,customers!$A$1:$A$1001,customers!$C$1:$C$1001,_xleta.N/A,0)=0,"",_xlfn.XLOOKUP(C115,customers!$A$1:$A$1001,customers!$C$1:$C$1001,_xleta.N/A,0))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f t="shared" si="3"/>
        <v>14.55</v>
      </c>
      <c r="N115" t="str">
        <f t="shared" si="4"/>
        <v>Liberica</v>
      </c>
      <c r="O115" t="str">
        <f t="shared" si="5"/>
        <v>Medium</v>
      </c>
      <c r="P115" t="str">
        <f>_xlfn.XLOOKUP(Table1[[#This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cm="1">
        <f t="array" ref="G116">IF(_xlfn.XLOOKUP(C116,customers!$A$1:$A$1001,customers!$C$1:$C$1001,_xleta.N/A,0)=0,"",_xlfn.XLOOKUP(C116,customers!$A$1:$A$1001,customers!$C$1:$C$1001,_xleta.N/A,0))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f t="shared" si="3"/>
        <v>14.339999999999998</v>
      </c>
      <c r="N116" t="str">
        <f t="shared" si="4"/>
        <v>Robusta</v>
      </c>
      <c r="O116" t="str">
        <f t="shared" si="5"/>
        <v>Large</v>
      </c>
      <c r="P116" t="str">
        <f>_xlfn.XLOOKUP(Table1[[#This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cm="1">
        <f t="array" ref="G117">IF(_xlfn.XLOOKUP(C117,customers!$A$1:$A$1001,customers!$C$1:$C$1001,_xleta.N/A,0)=0,"",_xlfn.XLOOKUP(C117,customers!$A$1:$A$1001,customers!$C$1:$C$1001,_xleta.N/A,0))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f t="shared" si="3"/>
        <v>15.85</v>
      </c>
      <c r="N117" t="str">
        <f t="shared" si="4"/>
        <v>Liberica</v>
      </c>
      <c r="O117" t="str">
        <f t="shared" si="5"/>
        <v>Large</v>
      </c>
      <c r="P117" t="str">
        <f>_xlfn.XLOOKUP(Table1[[#This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cm="1">
        <f t="array" ref="G118">IF(_xlfn.XLOOKUP(C118,customers!$A$1:$A$1001,customers!$C$1:$C$1001,_xleta.N/A,0)=0,"",_xlfn.XLOOKUP(C118,customers!$A$1:$A$1001,customers!$C$1:$C$1001,_xleta.N/A,0))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f t="shared" si="3"/>
        <v>19.02</v>
      </c>
      <c r="N118" t="str">
        <f t="shared" si="4"/>
        <v>Liberica</v>
      </c>
      <c r="O118" t="str">
        <f t="shared" si="5"/>
        <v>Large</v>
      </c>
      <c r="P118" t="str">
        <f>_xlfn.XLOOKUP(Table1[[#This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cm="1">
        <f t="array" ref="G119">IF(_xlfn.XLOOKUP(C119,customers!$A$1:$A$1001,customers!$C$1:$C$1001,_xleta.N/A,0)=0,"",_xlfn.XLOOKUP(C119,customers!$A$1:$A$1001,customers!$C$1:$C$1001,_xleta.N/A,0))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f t="shared" si="3"/>
        <v>38.04</v>
      </c>
      <c r="N119" t="str">
        <f t="shared" si="4"/>
        <v>Liberica</v>
      </c>
      <c r="O119" t="str">
        <f t="shared" si="5"/>
        <v>Large</v>
      </c>
      <c r="P119" t="str">
        <f>_xlfn.XLOOKUP(Table1[[#This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cm="1">
        <f t="array" ref="G120">IF(_xlfn.XLOOKUP(C120,customers!$A$1:$A$1001,customers!$C$1:$C$1001,_xleta.N/A,0)=0,"",_xlfn.XLOOKUP(C120,customers!$A$1:$A$1001,customers!$C$1:$C$1001,_xleta.N/A,0))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f t="shared" si="3"/>
        <v>21.87</v>
      </c>
      <c r="N120" t="str">
        <f t="shared" si="4"/>
        <v>Excelsa</v>
      </c>
      <c r="O120" t="str">
        <f t="shared" si="5"/>
        <v>Dark</v>
      </c>
      <c r="P120" t="str">
        <f>_xlfn.XLOOKUP(Table1[[#This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cm="1">
        <f t="array" ref="G121">IF(_xlfn.XLOOKUP(C121,customers!$A$1:$A$1001,customers!$C$1:$C$1001,_xleta.N/A,0)=0,"",_xlfn.XLOOKUP(C121,customers!$A$1:$A$1001,customers!$C$1:$C$1001,_xleta.N/A,0))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f t="shared" si="3"/>
        <v>4.125</v>
      </c>
      <c r="N121" t="str">
        <f t="shared" si="4"/>
        <v>Excelsa</v>
      </c>
      <c r="O121" t="str">
        <f t="shared" si="5"/>
        <v>Medium</v>
      </c>
      <c r="P121" t="str">
        <f>_xlfn.XLOOKUP(Table1[[#This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cm="1">
        <f t="array" ref="G122">IF(_xlfn.XLOOKUP(C122,customers!$A$1:$A$1001,customers!$C$1:$C$1001,_xleta.N/A,0)=0,"",_xlfn.XLOOKUP(C122,customers!$A$1:$A$1001,customers!$C$1:$C$1001,_xleta.N/A,0))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f t="shared" si="3"/>
        <v>3.8849999999999998</v>
      </c>
      <c r="N122" t="str">
        <f t="shared" si="4"/>
        <v>Arabica</v>
      </c>
      <c r="O122" t="str">
        <f t="shared" si="5"/>
        <v>Large</v>
      </c>
      <c r="P122" t="str">
        <f>_xlfn.XLOOKUP(Table1[[#This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cm="1">
        <f t="array" ref="G123">IF(_xlfn.XLOOKUP(C123,customers!$A$1:$A$1001,customers!$C$1:$C$1001,_xleta.N/A,0)=0,"",_xlfn.XLOOKUP(C123,customers!$A$1:$A$1001,customers!$C$1:$C$1001,_xleta.N/A,0))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f t="shared" si="3"/>
        <v>68.75</v>
      </c>
      <c r="N123" t="str">
        <f t="shared" si="4"/>
        <v>Excelsa</v>
      </c>
      <c r="O123" t="str">
        <f t="shared" si="5"/>
        <v>Medium</v>
      </c>
      <c r="P123" t="str">
        <f>_xlfn.XLOOKUP(Table1[[#This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cm="1">
        <f t="array" ref="G124">IF(_xlfn.XLOOKUP(C124,customers!$A$1:$A$1001,customers!$C$1:$C$1001,_xleta.N/A,0)=0,"",_xlfn.XLOOKUP(C124,customers!$A$1:$A$1001,customers!$C$1:$C$1001,_xleta.N/A,0))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f t="shared" si="3"/>
        <v>23.88</v>
      </c>
      <c r="N124" t="str">
        <f t="shared" si="4"/>
        <v>Arabica</v>
      </c>
      <c r="O124" t="str">
        <f t="shared" si="5"/>
        <v>Dark</v>
      </c>
      <c r="P124" t="str">
        <f>_xlfn.XLOOKUP(Table1[[#This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cm="1">
        <f t="array" ref="G125">IF(_xlfn.XLOOKUP(C125,customers!$A$1:$A$1001,customers!$C$1:$C$1001,_xleta.N/A,0)=0,"",_xlfn.XLOOKUP(C125,customers!$A$1:$A$1001,customers!$C$1:$C$1001,_xleta.N/A,0))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f t="shared" si="3"/>
        <v>145.82</v>
      </c>
      <c r="N125" t="str">
        <f t="shared" si="4"/>
        <v>Liberica</v>
      </c>
      <c r="O125" t="str">
        <f t="shared" si="5"/>
        <v>Large</v>
      </c>
      <c r="P125" t="str">
        <f>_xlfn.XLOOKUP(Table1[[#This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cm="1">
        <f t="array" ref="G126">IF(_xlfn.XLOOKUP(C126,customers!$A$1:$A$1001,customers!$C$1:$C$1001,_xleta.N/A,0)=0,"",_xlfn.XLOOKUP(C126,customers!$A$1:$A$1001,customers!$C$1:$C$1001,_xleta.N/A,0))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f t="shared" si="3"/>
        <v>21.825000000000003</v>
      </c>
      <c r="N126" t="str">
        <f t="shared" si="4"/>
        <v>Liberica</v>
      </c>
      <c r="O126" t="str">
        <f t="shared" si="5"/>
        <v>Medium</v>
      </c>
      <c r="P126" t="str">
        <f>_xlfn.XLOOKUP(Table1[[#This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cm="1">
        <f t="array" ref="G127">IF(_xlfn.XLOOKUP(C127,customers!$A$1:$A$1001,customers!$C$1:$C$1001,_xleta.N/A,0)=0,"",_xlfn.XLOOKUP(C127,customers!$A$1:$A$1001,customers!$C$1:$C$1001,_xleta.N/A,0))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f t="shared" si="3"/>
        <v>26.19</v>
      </c>
      <c r="N127" t="str">
        <f t="shared" si="4"/>
        <v>Liberica</v>
      </c>
      <c r="O127" t="str">
        <f t="shared" si="5"/>
        <v>Medium</v>
      </c>
      <c r="P127" t="str">
        <f>_xlfn.XLOOKUP(Table1[[#This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cm="1">
        <f t="array" ref="G128">IF(_xlfn.XLOOKUP(C128,customers!$A$1:$A$1001,customers!$C$1:$C$1001,_xleta.N/A,0)=0,"",_xlfn.XLOOKUP(C128,customers!$A$1:$A$1001,customers!$C$1:$C$1001,_xleta.N/A,0))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f t="shared" si="3"/>
        <v>11.25</v>
      </c>
      <c r="N128" t="str">
        <f t="shared" si="4"/>
        <v>Arabica</v>
      </c>
      <c r="O128" t="str">
        <f t="shared" si="5"/>
        <v>Medium</v>
      </c>
      <c r="P128" t="str">
        <f>_xlfn.XLOOKUP(Table1[[#This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cm="1">
        <f t="array" ref="G129">IF(_xlfn.XLOOKUP(C129,customers!$A$1:$A$1001,customers!$C$1:$C$1001,_xleta.N/A,0)=0,"",_xlfn.XLOOKUP(C129,customers!$A$1:$A$1001,customers!$C$1:$C$1001,_xleta.N/A,0))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f t="shared" si="3"/>
        <v>77.699999999999989</v>
      </c>
      <c r="N129" t="str">
        <f t="shared" si="4"/>
        <v>Liberica</v>
      </c>
      <c r="O129" t="str">
        <f t="shared" si="5"/>
        <v>Dark</v>
      </c>
      <c r="P129" t="str">
        <f>_xlfn.XLOOKUP(Table1[[#This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cm="1">
        <f t="array" ref="G130">IF(_xlfn.XLOOKUP(C130,customers!$A$1:$A$1001,customers!$C$1:$C$1001,_xleta.N/A,0)=0,"",_xlfn.XLOOKUP(C130,customers!$A$1:$A$1001,customers!$C$1:$C$1001,_xleta.N/A,0))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f t="shared" si="3"/>
        <v>6.75</v>
      </c>
      <c r="N130" t="str">
        <f t="shared" si="4"/>
        <v>Arabica</v>
      </c>
      <c r="O130" t="str">
        <f t="shared" si="5"/>
        <v>Medium</v>
      </c>
      <c r="P130" t="str">
        <f>_xlfn.XLOOKUP(Table1[[#This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cm="1">
        <f t="array" ref="G131">IF(_xlfn.XLOOKUP(C131,customers!$A$1:$A$1001,customers!$C$1:$C$1001,_xleta.N/A,0)=0,"",_xlfn.XLOOKUP(C131,customers!$A$1:$A$1001,customers!$C$1:$C$1001,_xleta.N/A,0))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f t="shared" ref="M131:M194" si="6">L131*E131</f>
        <v>12.15</v>
      </c>
      <c r="N131" t="str">
        <f t="shared" ref="N131:N194" si="7">IF(I131="ROB","Robusta",IF(I131="EXC","Excelsa",IF(I131="Ara","Arabica",IF(I131="lib","Liberica",""))))</f>
        <v>Excelsa</v>
      </c>
      <c r="O131" t="str">
        <f t="shared" ref="O131:O194" si="8">IF(J131="M","Medium",IF(J131="L","Large",IF(J131="D","Dark","")))</f>
        <v>Dark</v>
      </c>
      <c r="P131" t="str">
        <f>_xlfn.XLOOKUP(Table1[[#This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cm="1">
        <f t="array" ref="G132">IF(_xlfn.XLOOKUP(C132,customers!$A$1:$A$1001,customers!$C$1:$C$1001,_xleta.N/A,0)=0,"",_xlfn.XLOOKUP(C132,customers!$A$1:$A$1001,customers!$C$1:$C$1001,_xleta.N/A,0))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f t="shared" si="6"/>
        <v>148.92499999999998</v>
      </c>
      <c r="N132" t="str">
        <f t="shared" si="7"/>
        <v>Arabica</v>
      </c>
      <c r="O132" t="str">
        <f t="shared" si="8"/>
        <v>Large</v>
      </c>
      <c r="P132" t="str">
        <f>_xlfn.XLOOKUP(Table1[[#This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cm="1">
        <f t="array" ref="G133">IF(_xlfn.XLOOKUP(C133,customers!$A$1:$A$1001,customers!$C$1:$C$1001,_xleta.N/A,0)=0,"",_xlfn.XLOOKUP(C133,customers!$A$1:$A$1001,customers!$C$1:$C$1001,_xleta.N/A,0))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f t="shared" si="6"/>
        <v>14.58</v>
      </c>
      <c r="N133" t="str">
        <f t="shared" si="7"/>
        <v>Excelsa</v>
      </c>
      <c r="O133" t="str">
        <f t="shared" si="8"/>
        <v>Dark</v>
      </c>
      <c r="P133" t="str">
        <f>_xlfn.XLOOKUP(Table1[[#This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cm="1">
        <f t="array" ref="G134">IF(_xlfn.XLOOKUP(C134,customers!$A$1:$A$1001,customers!$C$1:$C$1001,_xleta.N/A,0)=0,"",_xlfn.XLOOKUP(C134,customers!$A$1:$A$1001,customers!$C$1:$C$1001,_xleta.N/A,0))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f t="shared" si="6"/>
        <v>148.92499999999998</v>
      </c>
      <c r="N134" t="str">
        <f t="shared" si="7"/>
        <v>Arabica</v>
      </c>
      <c r="O134" t="str">
        <f t="shared" si="8"/>
        <v>Large</v>
      </c>
      <c r="P134" t="str">
        <f>_xlfn.XLOOKUP(Table1[[#This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cm="1">
        <f t="array" ref="G135">IF(_xlfn.XLOOKUP(C135,customers!$A$1:$A$1001,customers!$C$1:$C$1001,_xleta.N/A,0)=0,"",_xlfn.XLOOKUP(C135,customers!$A$1:$A$1001,customers!$C$1:$C$1001,_xleta.N/A,0))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f t="shared" si="6"/>
        <v>12.95</v>
      </c>
      <c r="N135" t="str">
        <f t="shared" si="7"/>
        <v>Liberica</v>
      </c>
      <c r="O135" t="str">
        <f t="shared" si="8"/>
        <v>Dark</v>
      </c>
      <c r="P135" t="str">
        <f>_xlfn.XLOOKUP(Table1[[#This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cm="1">
        <f t="array" ref="G136">IF(_xlfn.XLOOKUP(C136,customers!$A$1:$A$1001,customers!$C$1:$C$1001,_xleta.N/A,0)=0,"",_xlfn.XLOOKUP(C136,customers!$A$1:$A$1001,customers!$C$1:$C$1001,_xleta.N/A,0))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f t="shared" si="6"/>
        <v>94.874999999999986</v>
      </c>
      <c r="N136" t="str">
        <f t="shared" si="7"/>
        <v>Excelsa</v>
      </c>
      <c r="O136" t="str">
        <f t="shared" si="8"/>
        <v>Medium</v>
      </c>
      <c r="P136" t="str">
        <f>_xlfn.XLOOKUP(Table1[[#This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cm="1">
        <f t="array" ref="G137">IF(_xlfn.XLOOKUP(C137,customers!$A$1:$A$1001,customers!$C$1:$C$1001,_xleta.N/A,0)=0,"",_xlfn.XLOOKUP(C137,customers!$A$1:$A$1001,customers!$C$1:$C$1001,_xleta.N/A,0))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f t="shared" si="6"/>
        <v>38.849999999999994</v>
      </c>
      <c r="N137" t="str">
        <f t="shared" si="7"/>
        <v>Arabica</v>
      </c>
      <c r="O137" t="str">
        <f t="shared" si="8"/>
        <v>Large</v>
      </c>
      <c r="P137" t="str">
        <f>_xlfn.XLOOKUP(Table1[[#This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cm="1">
        <f t="array" ref="G138">IF(_xlfn.XLOOKUP(C138,customers!$A$1:$A$1001,customers!$C$1:$C$1001,_xleta.N/A,0)=0,"",_xlfn.XLOOKUP(C138,customers!$A$1:$A$1001,customers!$C$1:$C$1001,_xleta.N/A,0))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f t="shared" si="6"/>
        <v>11.94</v>
      </c>
      <c r="N138" t="str">
        <f t="shared" si="7"/>
        <v>Arabica</v>
      </c>
      <c r="O138" t="str">
        <f t="shared" si="8"/>
        <v>Dark</v>
      </c>
      <c r="P138" t="str">
        <f>_xlfn.XLOOKUP(Table1[[#This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cm="1">
        <f t="array" ref="G139">IF(_xlfn.XLOOKUP(C139,customers!$A$1:$A$1001,customers!$C$1:$C$1001,_xleta.N/A,0)=0,"",_xlfn.XLOOKUP(C139,customers!$A$1:$A$1001,customers!$C$1:$C$1001,_xleta.N/A,0))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f t="shared" si="6"/>
        <v>102.46499999999997</v>
      </c>
      <c r="N139" t="str">
        <f t="shared" si="7"/>
        <v>Excelsa</v>
      </c>
      <c r="O139" t="str">
        <f t="shared" si="8"/>
        <v>Large</v>
      </c>
      <c r="P139" t="str">
        <f>_xlfn.XLOOKUP(Table1[[#This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cm="1">
        <f t="array" ref="G140">IF(_xlfn.XLOOKUP(C140,customers!$A$1:$A$1001,customers!$C$1:$C$1001,_xleta.N/A,0)=0,"",_xlfn.XLOOKUP(C140,customers!$A$1:$A$1001,customers!$C$1:$C$1001,_xleta.N/A,0))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f t="shared" si="6"/>
        <v>48.6</v>
      </c>
      <c r="N140" t="str">
        <f t="shared" si="7"/>
        <v>Excelsa</v>
      </c>
      <c r="O140" t="str">
        <f t="shared" si="8"/>
        <v>Dark</v>
      </c>
      <c r="P140" t="str">
        <f>_xlfn.XLOOKUP(Table1[[#This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cm="1">
        <f t="array" ref="G141">IF(_xlfn.XLOOKUP(C141,customers!$A$1:$A$1001,customers!$C$1:$C$1001,_xleta.N/A,0)=0,"",_xlfn.XLOOKUP(C141,customers!$A$1:$A$1001,customers!$C$1:$C$1001,_xleta.N/A,0))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f t="shared" si="6"/>
        <v>77.699999999999989</v>
      </c>
      <c r="N141" t="str">
        <f t="shared" si="7"/>
        <v>Liberica</v>
      </c>
      <c r="O141" t="str">
        <f t="shared" si="8"/>
        <v>Dark</v>
      </c>
      <c r="P141" t="str">
        <f>_xlfn.XLOOKUP(Table1[[#This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cm="1">
        <f t="array" ref="G142">IF(_xlfn.XLOOKUP(C142,customers!$A$1:$A$1001,customers!$C$1:$C$1001,_xleta.N/A,0)=0,"",_xlfn.XLOOKUP(C142,customers!$A$1:$A$1001,customers!$C$1:$C$1001,_xleta.N/A,0))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f t="shared" si="6"/>
        <v>29.784999999999997</v>
      </c>
      <c r="N142" t="str">
        <f t="shared" si="7"/>
        <v>Liberica</v>
      </c>
      <c r="O142" t="str">
        <f t="shared" si="8"/>
        <v>Dark</v>
      </c>
      <c r="P142" t="str">
        <f>_xlfn.XLOOKUP(Table1[[#This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cm="1">
        <f t="array" ref="G143">IF(_xlfn.XLOOKUP(C143,customers!$A$1:$A$1001,customers!$C$1:$C$1001,_xleta.N/A,0)=0,"",_xlfn.XLOOKUP(C143,customers!$A$1:$A$1001,customers!$C$1:$C$1001,_xleta.N/A,0))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f t="shared" si="6"/>
        <v>15.54</v>
      </c>
      <c r="N143" t="str">
        <f t="shared" si="7"/>
        <v>Arabica</v>
      </c>
      <c r="O143" t="str">
        <f t="shared" si="8"/>
        <v>Large</v>
      </c>
      <c r="P143" t="str">
        <f>_xlfn.XLOOKUP(Table1[[#This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cm="1">
        <f t="array" ref="G144">IF(_xlfn.XLOOKUP(C144,customers!$A$1:$A$1001,customers!$C$1:$C$1001,_xleta.N/A,0)=0,"",_xlfn.XLOOKUP(C144,customers!$A$1:$A$1001,customers!$C$1:$C$1001,_xleta.N/A,0))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f t="shared" si="6"/>
        <v>136.61999999999998</v>
      </c>
      <c r="N144" t="str">
        <f t="shared" si="7"/>
        <v>Excelsa</v>
      </c>
      <c r="O144" t="str">
        <f t="shared" si="8"/>
        <v>Large</v>
      </c>
      <c r="P144" t="str">
        <f>_xlfn.XLOOKUP(Table1[[#This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cm="1">
        <f t="array" ref="G145">IF(_xlfn.XLOOKUP(C145,customers!$A$1:$A$1001,customers!$C$1:$C$1001,_xleta.N/A,0)=0,"",_xlfn.XLOOKUP(C145,customers!$A$1:$A$1001,customers!$C$1:$C$1001,_xleta.N/A,0))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f t="shared" si="6"/>
        <v>17.46</v>
      </c>
      <c r="N145" t="str">
        <f t="shared" si="7"/>
        <v>Liberica</v>
      </c>
      <c r="O145" t="str">
        <f t="shared" si="8"/>
        <v>Medium</v>
      </c>
      <c r="P145" t="str">
        <f>_xlfn.XLOOKUP(Table1[[#This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cm="1">
        <f t="array" ref="G146">IF(_xlfn.XLOOKUP(C146,customers!$A$1:$A$1001,customers!$C$1:$C$1001,_xleta.N/A,0)=0,"",_xlfn.XLOOKUP(C146,customers!$A$1:$A$1001,customers!$C$1:$C$1001,_xleta.N/A,0))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f t="shared" si="6"/>
        <v>68.309999999999988</v>
      </c>
      <c r="N146" t="str">
        <f t="shared" si="7"/>
        <v>Excelsa</v>
      </c>
      <c r="O146" t="str">
        <f t="shared" si="8"/>
        <v>Large</v>
      </c>
      <c r="P146" t="str">
        <f>_xlfn.XLOOKUP(Table1[[#This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cm="1">
        <f t="array" ref="G147">IF(_xlfn.XLOOKUP(C147,customers!$A$1:$A$1001,customers!$C$1:$C$1001,_xleta.N/A,0)=0,"",_xlfn.XLOOKUP(C147,customers!$A$1:$A$1001,customers!$C$1:$C$1001,_xleta.N/A,0))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f t="shared" si="6"/>
        <v>17.46</v>
      </c>
      <c r="N147" t="str">
        <f t="shared" si="7"/>
        <v>Liberica</v>
      </c>
      <c r="O147" t="str">
        <f t="shared" si="8"/>
        <v>Medium</v>
      </c>
      <c r="P147" t="str">
        <f>_xlfn.XLOOKUP(Table1[[#This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cm="1">
        <f t="array" ref="G148">IF(_xlfn.XLOOKUP(C148,customers!$A$1:$A$1001,customers!$C$1:$C$1001,_xleta.N/A,0)=0,"",_xlfn.XLOOKUP(C148,customers!$A$1:$A$1001,customers!$C$1:$C$1001,_xleta.N/A,0))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f t="shared" si="6"/>
        <v>43.650000000000006</v>
      </c>
      <c r="N148" t="str">
        <f t="shared" si="7"/>
        <v>Liberica</v>
      </c>
      <c r="O148" t="str">
        <f t="shared" si="8"/>
        <v>Medium</v>
      </c>
      <c r="P148" t="str">
        <f>_xlfn.XLOOKUP(Table1[[#This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cm="1">
        <f t="array" ref="G149">IF(_xlfn.XLOOKUP(C149,customers!$A$1:$A$1001,customers!$C$1:$C$1001,_xleta.N/A,0)=0,"",_xlfn.XLOOKUP(C149,customers!$A$1:$A$1001,customers!$C$1:$C$1001,_xleta.N/A,0))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f t="shared" si="6"/>
        <v>27.5</v>
      </c>
      <c r="N149" t="str">
        <f t="shared" si="7"/>
        <v>Excelsa</v>
      </c>
      <c r="O149" t="str">
        <f t="shared" si="8"/>
        <v>Medium</v>
      </c>
      <c r="P149" t="str">
        <f>_xlfn.XLOOKUP(Table1[[#This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cm="1">
        <f t="array" ref="G150">IF(_xlfn.XLOOKUP(C150,customers!$A$1:$A$1001,customers!$C$1:$C$1001,_xleta.N/A,0)=0,"",_xlfn.XLOOKUP(C150,customers!$A$1:$A$1001,customers!$C$1:$C$1001,_xleta.N/A,0))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f t="shared" si="6"/>
        <v>18.225000000000001</v>
      </c>
      <c r="N150" t="str">
        <f t="shared" si="7"/>
        <v>Excelsa</v>
      </c>
      <c r="O150" t="str">
        <f t="shared" si="8"/>
        <v>Dark</v>
      </c>
      <c r="P150" t="str">
        <f>_xlfn.XLOOKUP(Table1[[#This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cm="1">
        <f t="array" ref="G151">IF(_xlfn.XLOOKUP(C151,customers!$A$1:$A$1001,customers!$C$1:$C$1001,_xleta.N/A,0)=0,"",_xlfn.XLOOKUP(C151,customers!$A$1:$A$1001,customers!$C$1:$C$1001,_xleta.N/A,0))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f t="shared" si="6"/>
        <v>51.749999999999993</v>
      </c>
      <c r="N151" t="str">
        <f t="shared" si="7"/>
        <v>Arabica</v>
      </c>
      <c r="O151" t="str">
        <f t="shared" si="8"/>
        <v>Medium</v>
      </c>
      <c r="P151" t="str">
        <f>_xlfn.XLOOKUP(Table1[[#This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cm="1">
        <f t="array" ref="G152">IF(_xlfn.XLOOKUP(C152,customers!$A$1:$A$1001,customers!$C$1:$C$1001,_xleta.N/A,0)=0,"",_xlfn.XLOOKUP(C152,customers!$A$1:$A$1001,customers!$C$1:$C$1001,_xleta.N/A,0))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f t="shared" si="6"/>
        <v>12.95</v>
      </c>
      <c r="N152" t="str">
        <f t="shared" si="7"/>
        <v>Liberica</v>
      </c>
      <c r="O152" t="str">
        <f t="shared" si="8"/>
        <v>Dark</v>
      </c>
      <c r="P152" t="str">
        <f>_xlfn.XLOOKUP(Table1[[#This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cm="1">
        <f t="array" ref="G153">IF(_xlfn.XLOOKUP(C153,customers!$A$1:$A$1001,customers!$C$1:$C$1001,_xleta.N/A,0)=0,"",_xlfn.XLOOKUP(C153,customers!$A$1:$A$1001,customers!$C$1:$C$1001,_xleta.N/A,0))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f t="shared" si="6"/>
        <v>33.75</v>
      </c>
      <c r="N153" t="str">
        <f t="shared" si="7"/>
        <v>Arabica</v>
      </c>
      <c r="O153" t="str">
        <f t="shared" si="8"/>
        <v>Medium</v>
      </c>
      <c r="P153" t="str">
        <f>_xlfn.XLOOKUP(Table1[[#This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cm="1">
        <f t="array" ref="G154">IF(_xlfn.XLOOKUP(C154,customers!$A$1:$A$1001,customers!$C$1:$C$1001,_xleta.N/A,0)=0,"",_xlfn.XLOOKUP(C154,customers!$A$1:$A$1001,customers!$C$1:$C$1001,_xleta.N/A,0))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f t="shared" si="6"/>
        <v>68.655000000000001</v>
      </c>
      <c r="N154" t="str">
        <f t="shared" si="7"/>
        <v>Robusta</v>
      </c>
      <c r="O154" t="str">
        <f t="shared" si="8"/>
        <v>Medium</v>
      </c>
      <c r="P154" t="str">
        <f>_xlfn.XLOOKUP(Table1[[#This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cm="1">
        <f t="array" ref="G155">IF(_xlfn.XLOOKUP(C155,customers!$A$1:$A$1001,customers!$C$1:$C$1001,_xleta.N/A,0)=0,"",_xlfn.XLOOKUP(C155,customers!$A$1:$A$1001,customers!$C$1:$C$1001,_xleta.N/A,0))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f t="shared" si="6"/>
        <v>2.6849999999999996</v>
      </c>
      <c r="N155" t="str">
        <f t="shared" si="7"/>
        <v>Robusta</v>
      </c>
      <c r="O155" t="str">
        <f t="shared" si="8"/>
        <v>Dark</v>
      </c>
      <c r="P155" t="str">
        <f>_xlfn.XLOOKUP(Table1[[#This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cm="1">
        <f t="array" ref="G156">IF(_xlfn.XLOOKUP(C156,customers!$A$1:$A$1001,customers!$C$1:$C$1001,_xleta.N/A,0)=0,"",_xlfn.XLOOKUP(C156,customers!$A$1:$A$1001,customers!$C$1:$C$1001,_xleta.N/A,0))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f t="shared" si="6"/>
        <v>114.42499999999998</v>
      </c>
      <c r="N156" t="str">
        <f t="shared" si="7"/>
        <v>Arabica</v>
      </c>
      <c r="O156" t="str">
        <f t="shared" si="8"/>
        <v>Dark</v>
      </c>
      <c r="P156" t="str">
        <f>_xlfn.XLOOKUP(Table1[[#This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cm="1">
        <f t="array" ref="G157">IF(_xlfn.XLOOKUP(C157,customers!$A$1:$A$1001,customers!$C$1:$C$1001,_xleta.N/A,0)=0,"",_xlfn.XLOOKUP(C157,customers!$A$1:$A$1001,customers!$C$1:$C$1001,_xleta.N/A,0))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f t="shared" si="6"/>
        <v>155.24999999999997</v>
      </c>
      <c r="N157" t="str">
        <f t="shared" si="7"/>
        <v>Arabica</v>
      </c>
      <c r="O157" t="str">
        <f t="shared" si="8"/>
        <v>Medium</v>
      </c>
      <c r="P157" t="str">
        <f>_xlfn.XLOOKUP(Table1[[#This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cm="1">
        <f t="array" ref="G158">IF(_xlfn.XLOOKUP(C158,customers!$A$1:$A$1001,customers!$C$1:$C$1001,_xleta.N/A,0)=0,"",_xlfn.XLOOKUP(C158,customers!$A$1:$A$1001,customers!$C$1:$C$1001,_xleta.N/A,0))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f t="shared" si="6"/>
        <v>77.624999999999986</v>
      </c>
      <c r="N158" t="str">
        <f t="shared" si="7"/>
        <v>Arabica</v>
      </c>
      <c r="O158" t="str">
        <f t="shared" si="8"/>
        <v>Medium</v>
      </c>
      <c r="P158" t="str">
        <f>_xlfn.XLOOKUP(Table1[[#This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cm="1">
        <f t="array" ref="G159">IF(_xlfn.XLOOKUP(C159,customers!$A$1:$A$1001,customers!$C$1:$C$1001,_xleta.N/A,0)=0,"",_xlfn.XLOOKUP(C159,customers!$A$1:$A$1001,customers!$C$1:$C$1001,_xleta.N/A,0))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f t="shared" si="6"/>
        <v>61.754999999999995</v>
      </c>
      <c r="N159" t="str">
        <f t="shared" si="7"/>
        <v>Robusta</v>
      </c>
      <c r="O159" t="str">
        <f t="shared" si="8"/>
        <v>Dark</v>
      </c>
      <c r="P159" t="str">
        <f>_xlfn.XLOOKUP(Table1[[#This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cm="1">
        <f t="array" ref="G160">IF(_xlfn.XLOOKUP(C160,customers!$A$1:$A$1001,customers!$C$1:$C$1001,_xleta.N/A,0)=0,"",_xlfn.XLOOKUP(C160,customers!$A$1:$A$1001,customers!$C$1:$C$1001,_xleta.N/A,0))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f t="shared" si="6"/>
        <v>123.50999999999999</v>
      </c>
      <c r="N160" t="str">
        <f t="shared" si="7"/>
        <v>Robusta</v>
      </c>
      <c r="O160" t="str">
        <f t="shared" si="8"/>
        <v>Dark</v>
      </c>
      <c r="P160" t="str">
        <f>_xlfn.XLOOKUP(Table1[[#This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cm="1">
        <f t="array" ref="G161">IF(_xlfn.XLOOKUP(C161,customers!$A$1:$A$1001,customers!$C$1:$C$1001,_xleta.N/A,0)=0,"",_xlfn.XLOOKUP(C161,customers!$A$1:$A$1001,customers!$C$1:$C$1001,_xleta.N/A,0))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f t="shared" si="6"/>
        <v>218.73</v>
      </c>
      <c r="N161" t="str">
        <f t="shared" si="7"/>
        <v>Liberica</v>
      </c>
      <c r="O161" t="str">
        <f t="shared" si="8"/>
        <v>Large</v>
      </c>
      <c r="P161" t="str">
        <f>_xlfn.XLOOKUP(Table1[[#This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cm="1">
        <f t="array" ref="G162">IF(_xlfn.XLOOKUP(C162,customers!$A$1:$A$1001,customers!$C$1:$C$1001,_xleta.N/A,0)=0,"",_xlfn.XLOOKUP(C162,customers!$A$1:$A$1001,customers!$C$1:$C$1001,_xleta.N/A,0))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f t="shared" si="6"/>
        <v>33</v>
      </c>
      <c r="N162" t="str">
        <f t="shared" si="7"/>
        <v>Excelsa</v>
      </c>
      <c r="O162" t="str">
        <f t="shared" si="8"/>
        <v>Medium</v>
      </c>
      <c r="P162" t="str">
        <f>_xlfn.XLOOKUP(Table1[[#This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cm="1">
        <f t="array" ref="G163">IF(_xlfn.XLOOKUP(C163,customers!$A$1:$A$1001,customers!$C$1:$C$1001,_xleta.N/A,0)=0,"",_xlfn.XLOOKUP(C163,customers!$A$1:$A$1001,customers!$C$1:$C$1001,_xleta.N/A,0))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f t="shared" si="6"/>
        <v>23.31</v>
      </c>
      <c r="N163" t="str">
        <f t="shared" si="7"/>
        <v>Arabica</v>
      </c>
      <c r="O163" t="str">
        <f t="shared" si="8"/>
        <v>Large</v>
      </c>
      <c r="P163" t="str">
        <f>_xlfn.XLOOKUP(Table1[[#This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cm="1">
        <f t="array" ref="G164">IF(_xlfn.XLOOKUP(C164,customers!$A$1:$A$1001,customers!$C$1:$C$1001,_xleta.N/A,0)=0,"",_xlfn.XLOOKUP(C164,customers!$A$1:$A$1001,customers!$C$1:$C$1001,_xleta.N/A,0))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f t="shared" si="6"/>
        <v>21.87</v>
      </c>
      <c r="N164" t="str">
        <f t="shared" si="7"/>
        <v>Excelsa</v>
      </c>
      <c r="O164" t="str">
        <f t="shared" si="8"/>
        <v>Dark</v>
      </c>
      <c r="P164" t="str">
        <f>_xlfn.XLOOKUP(Table1[[#This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cm="1">
        <f t="array" ref="G165">IF(_xlfn.XLOOKUP(C165,customers!$A$1:$A$1001,customers!$C$1:$C$1001,_xleta.N/A,0)=0,"",_xlfn.XLOOKUP(C165,customers!$A$1:$A$1001,customers!$C$1:$C$1001,_xleta.N/A,0))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f t="shared" si="6"/>
        <v>16.11</v>
      </c>
      <c r="N165" t="str">
        <f t="shared" si="7"/>
        <v>Robusta</v>
      </c>
      <c r="O165" t="str">
        <f t="shared" si="8"/>
        <v>Dark</v>
      </c>
      <c r="P165" t="str">
        <f>_xlfn.XLOOKUP(Table1[[#This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cm="1">
        <f t="array" ref="G166">IF(_xlfn.XLOOKUP(C166,customers!$A$1:$A$1001,customers!$C$1:$C$1001,_xleta.N/A,0)=0,"",_xlfn.XLOOKUP(C166,customers!$A$1:$A$1001,customers!$C$1:$C$1001,_xleta.N/A,0))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f t="shared" si="6"/>
        <v>29.16</v>
      </c>
      <c r="N166" t="str">
        <f t="shared" si="7"/>
        <v>Excelsa</v>
      </c>
      <c r="O166" t="str">
        <f t="shared" si="8"/>
        <v>Dark</v>
      </c>
      <c r="P166" t="str">
        <f>_xlfn.XLOOKUP(Table1[[#This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cm="1">
        <f t="array" ref="G167">IF(_xlfn.XLOOKUP(C167,customers!$A$1:$A$1001,customers!$C$1:$C$1001,_xleta.N/A,0)=0,"",_xlfn.XLOOKUP(C167,customers!$A$1:$A$1001,customers!$C$1:$C$1001,_xleta.N/A,0))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f t="shared" si="6"/>
        <v>53.699999999999996</v>
      </c>
      <c r="N167" t="str">
        <f t="shared" si="7"/>
        <v>Robusta</v>
      </c>
      <c r="O167" t="str">
        <f t="shared" si="8"/>
        <v>Dark</v>
      </c>
      <c r="P167" t="str">
        <f>_xlfn.XLOOKUP(Table1[[#This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cm="1">
        <f t="array" ref="G168">IF(_xlfn.XLOOKUP(C168,customers!$A$1:$A$1001,customers!$C$1:$C$1001,_xleta.N/A,0)=0,"",_xlfn.XLOOKUP(C168,customers!$A$1:$A$1001,customers!$C$1:$C$1001,_xleta.N/A,0))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f t="shared" si="6"/>
        <v>26.849999999999994</v>
      </c>
      <c r="N168" t="str">
        <f t="shared" si="7"/>
        <v>Robusta</v>
      </c>
      <c r="O168" t="str">
        <f t="shared" si="8"/>
        <v>Dark</v>
      </c>
      <c r="P168" t="str">
        <f>_xlfn.XLOOKUP(Table1[[#This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cm="1">
        <f t="array" ref="G169">IF(_xlfn.XLOOKUP(C169,customers!$A$1:$A$1001,customers!$C$1:$C$1001,_xleta.N/A,0)=0,"",_xlfn.XLOOKUP(C169,customers!$A$1:$A$1001,customers!$C$1:$C$1001,_xleta.N/A,0))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f t="shared" si="6"/>
        <v>41.25</v>
      </c>
      <c r="N169" t="str">
        <f t="shared" si="7"/>
        <v>Excelsa</v>
      </c>
      <c r="O169" t="str">
        <f t="shared" si="8"/>
        <v>Medium</v>
      </c>
      <c r="P169" t="str">
        <f>_xlfn.XLOOKUP(Table1[[#This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cm="1">
        <f t="array" ref="G170">IF(_xlfn.XLOOKUP(C170,customers!$A$1:$A$1001,customers!$C$1:$C$1001,_xleta.N/A,0)=0,"",_xlfn.XLOOKUP(C170,customers!$A$1:$A$1001,customers!$C$1:$C$1001,_xleta.N/A,0))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f t="shared" si="6"/>
        <v>40.5</v>
      </c>
      <c r="N170" t="str">
        <f t="shared" si="7"/>
        <v>Arabica</v>
      </c>
      <c r="O170" t="str">
        <f t="shared" si="8"/>
        <v>Medium</v>
      </c>
      <c r="P170" t="str">
        <f>_xlfn.XLOOKUP(Table1[[#This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cm="1">
        <f t="array" ref="G171">IF(_xlfn.XLOOKUP(C171,customers!$A$1:$A$1001,customers!$C$1:$C$1001,_xleta.N/A,0)=0,"",_xlfn.XLOOKUP(C171,customers!$A$1:$A$1001,customers!$C$1:$C$1001,_xleta.N/A,0))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f t="shared" si="6"/>
        <v>17.899999999999999</v>
      </c>
      <c r="N171" t="str">
        <f t="shared" si="7"/>
        <v>Robusta</v>
      </c>
      <c r="O171" t="str">
        <f t="shared" si="8"/>
        <v>Dark</v>
      </c>
      <c r="P171" t="str">
        <f>_xlfn.XLOOKUP(Table1[[#This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cm="1">
        <f t="array" ref="G172">IF(_xlfn.XLOOKUP(C172,customers!$A$1:$A$1001,customers!$C$1:$C$1001,_xleta.N/A,0)=0,"",_xlfn.XLOOKUP(C172,customers!$A$1:$A$1001,customers!$C$1:$C$1001,_xleta.N/A,0))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f t="shared" si="6"/>
        <v>68.309999999999988</v>
      </c>
      <c r="N172" t="str">
        <f t="shared" si="7"/>
        <v>Excelsa</v>
      </c>
      <c r="O172" t="str">
        <f t="shared" si="8"/>
        <v>Large</v>
      </c>
      <c r="P172" t="str">
        <f>_xlfn.XLOOKUP(Table1[[#This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cm="1">
        <f t="array" ref="G173">IF(_xlfn.XLOOKUP(C173,customers!$A$1:$A$1001,customers!$C$1:$C$1001,_xleta.N/A,0)=0,"",_xlfn.XLOOKUP(C173,customers!$A$1:$A$1001,customers!$C$1:$C$1001,_xleta.N/A,0))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f t="shared" si="6"/>
        <v>63.249999999999993</v>
      </c>
      <c r="N173" t="str">
        <f t="shared" si="7"/>
        <v>Excelsa</v>
      </c>
      <c r="O173" t="str">
        <f t="shared" si="8"/>
        <v>Medium</v>
      </c>
      <c r="P173" t="str">
        <f>_xlfn.XLOOKUP(Table1[[#This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cm="1">
        <f t="array" ref="G174">IF(_xlfn.XLOOKUP(C174,customers!$A$1:$A$1001,customers!$C$1:$C$1001,_xleta.N/A,0)=0,"",_xlfn.XLOOKUP(C174,customers!$A$1:$A$1001,customers!$C$1:$C$1001,_xleta.N/A,0))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f t="shared" si="6"/>
        <v>21.87</v>
      </c>
      <c r="N174" t="str">
        <f t="shared" si="7"/>
        <v>Excelsa</v>
      </c>
      <c r="O174" t="str">
        <f t="shared" si="8"/>
        <v>Dark</v>
      </c>
      <c r="P174" t="str">
        <f>_xlfn.XLOOKUP(Table1[[#This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cm="1">
        <f t="array" ref="G175">IF(_xlfn.XLOOKUP(C175,customers!$A$1:$A$1001,customers!$C$1:$C$1001,_xleta.N/A,0)=0,"",_xlfn.XLOOKUP(C175,customers!$A$1:$A$1001,customers!$C$1:$C$1001,_xleta.N/A,0))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f t="shared" si="6"/>
        <v>91.539999999999992</v>
      </c>
      <c r="N175" t="str">
        <f t="shared" si="7"/>
        <v>Robusta</v>
      </c>
      <c r="O175" t="str">
        <f t="shared" si="8"/>
        <v>Medium</v>
      </c>
      <c r="P175" t="str">
        <f>_xlfn.XLOOKUP(Table1[[#This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cm="1">
        <f t="array" ref="G176">IF(_xlfn.XLOOKUP(C176,customers!$A$1:$A$1001,customers!$C$1:$C$1001,_xleta.N/A,0)=0,"",_xlfn.XLOOKUP(C176,customers!$A$1:$A$1001,customers!$C$1:$C$1001,_xleta.N/A,0))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f t="shared" si="6"/>
        <v>204.92999999999995</v>
      </c>
      <c r="N176" t="str">
        <f t="shared" si="7"/>
        <v>Excelsa</v>
      </c>
      <c r="O176" t="str">
        <f t="shared" si="8"/>
        <v>Large</v>
      </c>
      <c r="P176" t="str">
        <f>_xlfn.XLOOKUP(Table1[[#This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cm="1">
        <f t="array" ref="G177">IF(_xlfn.XLOOKUP(C177,customers!$A$1:$A$1001,customers!$C$1:$C$1001,_xleta.N/A,0)=0,"",_xlfn.XLOOKUP(C177,customers!$A$1:$A$1001,customers!$C$1:$C$1001,_xleta.N/A,0))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f t="shared" si="6"/>
        <v>63.249999999999993</v>
      </c>
      <c r="N177" t="str">
        <f t="shared" si="7"/>
        <v>Excelsa</v>
      </c>
      <c r="O177" t="str">
        <f t="shared" si="8"/>
        <v>Medium</v>
      </c>
      <c r="P177" t="str">
        <f>_xlfn.XLOOKUP(Table1[[#This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cm="1">
        <f t="array" ref="G178">IF(_xlfn.XLOOKUP(C178,customers!$A$1:$A$1001,customers!$C$1:$C$1001,_xleta.N/A,0)=0,"",_xlfn.XLOOKUP(C178,customers!$A$1:$A$1001,customers!$C$1:$C$1001,_xleta.N/A,0))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f t="shared" si="6"/>
        <v>34.154999999999994</v>
      </c>
      <c r="N178" t="str">
        <f t="shared" si="7"/>
        <v>Excelsa</v>
      </c>
      <c r="O178" t="str">
        <f t="shared" si="8"/>
        <v>Large</v>
      </c>
      <c r="P178" t="str">
        <f>_xlfn.XLOOKUP(Table1[[#This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cm="1">
        <f t="array" ref="G179">IF(_xlfn.XLOOKUP(C179,customers!$A$1:$A$1001,customers!$C$1:$C$1001,_xleta.N/A,0)=0,"",_xlfn.XLOOKUP(C179,customers!$A$1:$A$1001,customers!$C$1:$C$1001,_xleta.N/A,0))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f t="shared" si="6"/>
        <v>109.93999999999998</v>
      </c>
      <c r="N179" t="str">
        <f t="shared" si="7"/>
        <v>Robusta</v>
      </c>
      <c r="O179" t="str">
        <f t="shared" si="8"/>
        <v>Large</v>
      </c>
      <c r="P179" t="str">
        <f>_xlfn.XLOOKUP(Table1[[#This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cm="1">
        <f t="array" ref="G180">IF(_xlfn.XLOOKUP(C180,customers!$A$1:$A$1001,customers!$C$1:$C$1001,_xleta.N/A,0)=0,"",_xlfn.XLOOKUP(C180,customers!$A$1:$A$1001,customers!$C$1:$C$1001,_xleta.N/A,0))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f t="shared" si="6"/>
        <v>25.9</v>
      </c>
      <c r="N180" t="str">
        <f t="shared" si="7"/>
        <v>Arabica</v>
      </c>
      <c r="O180" t="str">
        <f t="shared" si="8"/>
        <v>Large</v>
      </c>
      <c r="P180" t="str">
        <f>_xlfn.XLOOKUP(Table1[[#This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cm="1">
        <f t="array" ref="G181">IF(_xlfn.XLOOKUP(C181,customers!$A$1:$A$1001,customers!$C$1:$C$1001,_xleta.N/A,0)=0,"",_xlfn.XLOOKUP(C181,customers!$A$1:$A$1001,customers!$C$1:$C$1001,_xleta.N/A,0))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f t="shared" si="6"/>
        <v>2.9849999999999999</v>
      </c>
      <c r="N181" t="str">
        <f t="shared" si="7"/>
        <v>Arabica</v>
      </c>
      <c r="O181" t="str">
        <f t="shared" si="8"/>
        <v>Dark</v>
      </c>
      <c r="P181" t="str">
        <f>_xlfn.XLOOKUP(Table1[[#This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cm="1">
        <f t="array" ref="G182">IF(_xlfn.XLOOKUP(C182,customers!$A$1:$A$1001,customers!$C$1:$C$1001,_xleta.N/A,0)=0,"",_xlfn.XLOOKUP(C182,customers!$A$1:$A$1001,customers!$C$1:$C$1001,_xleta.N/A,0))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f t="shared" si="6"/>
        <v>22.274999999999999</v>
      </c>
      <c r="N182" t="str">
        <f t="shared" si="7"/>
        <v>Excelsa</v>
      </c>
      <c r="O182" t="str">
        <f t="shared" si="8"/>
        <v>Large</v>
      </c>
      <c r="P182" t="str">
        <f>_xlfn.XLOOKUP(Table1[[#This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cm="1">
        <f t="array" ref="G183">IF(_xlfn.XLOOKUP(C183,customers!$A$1:$A$1001,customers!$C$1:$C$1001,_xleta.N/A,0)=0,"",_xlfn.XLOOKUP(C183,customers!$A$1:$A$1001,customers!$C$1:$C$1001,_xleta.N/A,0))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f t="shared" si="6"/>
        <v>29.849999999999998</v>
      </c>
      <c r="N183" t="str">
        <f t="shared" si="7"/>
        <v>Arabica</v>
      </c>
      <c r="O183" t="str">
        <f t="shared" si="8"/>
        <v>Dark</v>
      </c>
      <c r="P183" t="str">
        <f>_xlfn.XLOOKUP(Table1[[#This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cm="1">
        <f t="array" ref="G184">IF(_xlfn.XLOOKUP(C184,customers!$A$1:$A$1001,customers!$C$1:$C$1001,_xleta.N/A,0)=0,"",_xlfn.XLOOKUP(C184,customers!$A$1:$A$1001,customers!$C$1:$C$1001,_xleta.N/A,0))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f t="shared" si="6"/>
        <v>32.22</v>
      </c>
      <c r="N184" t="str">
        <f t="shared" si="7"/>
        <v>Robusta</v>
      </c>
      <c r="O184" t="str">
        <f t="shared" si="8"/>
        <v>Dark</v>
      </c>
      <c r="P184" t="str">
        <f>_xlfn.XLOOKUP(Table1[[#This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cm="1">
        <f t="array" ref="G185">IF(_xlfn.XLOOKUP(C185,customers!$A$1:$A$1001,customers!$C$1:$C$1001,_xleta.N/A,0)=0,"",_xlfn.XLOOKUP(C185,customers!$A$1:$A$1001,customers!$C$1:$C$1001,_xleta.N/A,0))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f t="shared" si="6"/>
        <v>8.25</v>
      </c>
      <c r="N185" t="str">
        <f t="shared" si="7"/>
        <v>Excelsa</v>
      </c>
      <c r="O185" t="str">
        <f t="shared" si="8"/>
        <v>Medium</v>
      </c>
      <c r="P185" t="str">
        <f>_xlfn.XLOOKUP(Table1[[#This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cm="1">
        <f t="array" ref="G186">IF(_xlfn.XLOOKUP(C186,customers!$A$1:$A$1001,customers!$C$1:$C$1001,_xleta.N/A,0)=0,"",_xlfn.XLOOKUP(C186,customers!$A$1:$A$1001,customers!$C$1:$C$1001,_xleta.N/A,0))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f t="shared" si="6"/>
        <v>31.08</v>
      </c>
      <c r="N186" t="str">
        <f t="shared" si="7"/>
        <v>Arabica</v>
      </c>
      <c r="O186" t="str">
        <f t="shared" si="8"/>
        <v>Large</v>
      </c>
      <c r="P186" t="str">
        <f>_xlfn.XLOOKUP(Table1[[#This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cm="1">
        <f t="array" ref="G187">IF(_xlfn.XLOOKUP(C187,customers!$A$1:$A$1001,customers!$C$1:$C$1001,_xleta.N/A,0)=0,"",_xlfn.XLOOKUP(C187,customers!$A$1:$A$1001,customers!$C$1:$C$1001,_xleta.N/A,0))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f t="shared" si="6"/>
        <v>36.450000000000003</v>
      </c>
      <c r="N187" t="str">
        <f t="shared" si="7"/>
        <v>Excelsa</v>
      </c>
      <c r="O187" t="str">
        <f t="shared" si="8"/>
        <v>Dark</v>
      </c>
      <c r="P187" t="str">
        <f>_xlfn.XLOOKUP(Table1[[#This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cm="1">
        <f t="array" ref="G188">IF(_xlfn.XLOOKUP(C188,customers!$A$1:$A$1001,customers!$C$1:$C$1001,_xleta.N/A,0)=0,"",_xlfn.XLOOKUP(C188,customers!$A$1:$A$1001,customers!$C$1:$C$1001,_xleta.N/A,0))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f t="shared" si="6"/>
        <v>68.655000000000001</v>
      </c>
      <c r="N188" t="str">
        <f t="shared" si="7"/>
        <v>Robusta</v>
      </c>
      <c r="O188" t="str">
        <f t="shared" si="8"/>
        <v>Medium</v>
      </c>
      <c r="P188" t="str">
        <f>_xlfn.XLOOKUP(Table1[[#This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cm="1">
        <f t="array" ref="G189">IF(_xlfn.XLOOKUP(C189,customers!$A$1:$A$1001,customers!$C$1:$C$1001,_xleta.N/A,0)=0,"",_xlfn.XLOOKUP(C189,customers!$A$1:$A$1001,customers!$C$1:$C$1001,_xleta.N/A,0))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f t="shared" si="6"/>
        <v>43.650000000000006</v>
      </c>
      <c r="N189" t="str">
        <f t="shared" si="7"/>
        <v>Liberica</v>
      </c>
      <c r="O189" t="str">
        <f t="shared" si="8"/>
        <v>Medium</v>
      </c>
      <c r="P189" t="str">
        <f>_xlfn.XLOOKUP(Table1[[#This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cm="1">
        <f t="array" ref="G190">IF(_xlfn.XLOOKUP(C190,customers!$A$1:$A$1001,customers!$C$1:$C$1001,_xleta.N/A,0)=0,"",_xlfn.XLOOKUP(C190,customers!$A$1:$A$1001,customers!$C$1:$C$1001,_xleta.N/A,0))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f t="shared" si="6"/>
        <v>4.4550000000000001</v>
      </c>
      <c r="N190" t="str">
        <f t="shared" si="7"/>
        <v>Excelsa</v>
      </c>
      <c r="O190" t="str">
        <f t="shared" si="8"/>
        <v>Large</v>
      </c>
      <c r="P190" t="str">
        <f>_xlfn.XLOOKUP(Table1[[#This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cm="1">
        <f t="array" ref="G191">IF(_xlfn.XLOOKUP(C191,customers!$A$1:$A$1001,customers!$C$1:$C$1001,_xleta.N/A,0)=0,"",_xlfn.XLOOKUP(C191,customers!$A$1:$A$1001,customers!$C$1:$C$1001,_xleta.N/A,0))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f t="shared" si="6"/>
        <v>43.650000000000006</v>
      </c>
      <c r="N191" t="str">
        <f t="shared" si="7"/>
        <v>Liberica</v>
      </c>
      <c r="O191" t="str">
        <f t="shared" si="8"/>
        <v>Medium</v>
      </c>
      <c r="P191" t="str">
        <f>_xlfn.XLOOKUP(Table1[[#This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cm="1">
        <f t="array" ref="G192">IF(_xlfn.XLOOKUP(C192,customers!$A$1:$A$1001,customers!$C$1:$C$1001,_xleta.N/A,0)=0,"",_xlfn.XLOOKUP(C192,customers!$A$1:$A$1001,customers!$C$1:$C$1001,_xleta.N/A,0))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f t="shared" si="6"/>
        <v>33.464999999999996</v>
      </c>
      <c r="N192" t="str">
        <f t="shared" si="7"/>
        <v>Liberica</v>
      </c>
      <c r="O192" t="str">
        <f t="shared" si="8"/>
        <v>Medium</v>
      </c>
      <c r="P192" t="str">
        <f>_xlfn.XLOOKUP(Table1[[#This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cm="1">
        <f t="array" ref="G193">IF(_xlfn.XLOOKUP(C193,customers!$A$1:$A$1001,customers!$C$1:$C$1001,_xleta.N/A,0)=0,"",_xlfn.XLOOKUP(C193,customers!$A$1:$A$1001,customers!$C$1:$C$1001,_xleta.N/A,0))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f t="shared" si="6"/>
        <v>19.424999999999997</v>
      </c>
      <c r="N193" t="str">
        <f t="shared" si="7"/>
        <v>Liberica</v>
      </c>
      <c r="O193" t="str">
        <f t="shared" si="8"/>
        <v>Dark</v>
      </c>
      <c r="P193" t="str">
        <f>_xlfn.XLOOKUP(Table1[[#This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cm="1">
        <f t="array" ref="G194">IF(_xlfn.XLOOKUP(C194,customers!$A$1:$A$1001,customers!$C$1:$C$1001,_xleta.N/A,0)=0,"",_xlfn.XLOOKUP(C194,customers!$A$1:$A$1001,customers!$C$1:$C$1001,_xleta.N/A,0))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f t="shared" si="6"/>
        <v>72.900000000000006</v>
      </c>
      <c r="N194" t="str">
        <f t="shared" si="7"/>
        <v>Excelsa</v>
      </c>
      <c r="O194" t="str">
        <f t="shared" si="8"/>
        <v>Dark</v>
      </c>
      <c r="P194" t="str">
        <f>_xlfn.XLOOKUP(Table1[[#This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cm="1">
        <f t="array" ref="G195">IF(_xlfn.XLOOKUP(C195,customers!$A$1:$A$1001,customers!$C$1:$C$1001,_xleta.N/A,0)=0,"",_xlfn.XLOOKUP(C195,customers!$A$1:$A$1001,customers!$C$1:$C$1001,_xleta.N/A,0))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f t="shared" ref="M195:M258" si="9">L195*E195</f>
        <v>44.55</v>
      </c>
      <c r="N195" t="str">
        <f t="shared" ref="N195:N258" si="10">IF(I195="ROB","Robusta",IF(I195="EXC","Excelsa",IF(I195="Ara","Arabica",IF(I195="lib","Liberica",""))))</f>
        <v>Excelsa</v>
      </c>
      <c r="O195" t="str">
        <f t="shared" ref="O195:O258" si="11">IF(J195="M","Medium",IF(J195="L","Large",IF(J195="D","Dark","")))</f>
        <v>Large</v>
      </c>
      <c r="P195" t="str">
        <f>_xlfn.XLOOKUP(Table1[[#This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cm="1">
        <f t="array" ref="G196">IF(_xlfn.XLOOKUP(C196,customers!$A$1:$A$1001,customers!$C$1:$C$1001,_xleta.N/A,0)=0,"",_xlfn.XLOOKUP(C196,customers!$A$1:$A$1001,customers!$C$1:$C$1001,_xleta.N/A,0))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f t="shared" si="9"/>
        <v>36.450000000000003</v>
      </c>
      <c r="N196" t="str">
        <f t="shared" si="10"/>
        <v>Excelsa</v>
      </c>
      <c r="O196" t="str">
        <f t="shared" si="11"/>
        <v>Dark</v>
      </c>
      <c r="P196" t="str">
        <f>_xlfn.XLOOKUP(Table1[[#This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cm="1">
        <f t="array" ref="G197">IF(_xlfn.XLOOKUP(C197,customers!$A$1:$A$1001,customers!$C$1:$C$1001,_xleta.N/A,0)=0,"",_xlfn.XLOOKUP(C197,customers!$A$1:$A$1001,customers!$C$1:$C$1001,_xleta.N/A,0))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f t="shared" si="9"/>
        <v>38.849999999999994</v>
      </c>
      <c r="N197" t="str">
        <f t="shared" si="10"/>
        <v>Arabica</v>
      </c>
      <c r="O197" t="str">
        <f t="shared" si="11"/>
        <v>Large</v>
      </c>
      <c r="P197" t="str">
        <f>_xlfn.XLOOKUP(Table1[[#This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cm="1">
        <f t="array" ref="G198">IF(_xlfn.XLOOKUP(C198,customers!$A$1:$A$1001,customers!$C$1:$C$1001,_xleta.N/A,0)=0,"",_xlfn.XLOOKUP(C198,customers!$A$1:$A$1001,customers!$C$1:$C$1001,_xleta.N/A,0))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f t="shared" si="9"/>
        <v>53.46</v>
      </c>
      <c r="N198" t="str">
        <f t="shared" si="10"/>
        <v>Excelsa</v>
      </c>
      <c r="O198" t="str">
        <f t="shared" si="11"/>
        <v>Large</v>
      </c>
      <c r="P198" t="str">
        <f>_xlfn.XLOOKUP(Table1[[#This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cm="1">
        <f t="array" ref="G199">IF(_xlfn.XLOOKUP(C199,customers!$A$1:$A$1001,customers!$C$1:$C$1001,_xleta.N/A,0)=0,"",_xlfn.XLOOKUP(C199,customers!$A$1:$A$1001,customers!$C$1:$C$1001,_xleta.N/A,0))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f t="shared" si="9"/>
        <v>59.569999999999993</v>
      </c>
      <c r="N199" t="str">
        <f t="shared" si="10"/>
        <v>Liberica</v>
      </c>
      <c r="O199" t="str">
        <f t="shared" si="11"/>
        <v>Dark</v>
      </c>
      <c r="P199" t="str">
        <f>_xlfn.XLOOKUP(Table1[[#This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cm="1">
        <f t="array" ref="G200">IF(_xlfn.XLOOKUP(C200,customers!$A$1:$A$1001,customers!$C$1:$C$1001,_xleta.N/A,0)=0,"",_xlfn.XLOOKUP(C200,customers!$A$1:$A$1001,customers!$C$1:$C$1001,_xleta.N/A,0))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f t="shared" si="9"/>
        <v>89.35499999999999</v>
      </c>
      <c r="N200" t="str">
        <f t="shared" si="10"/>
        <v>Liberica</v>
      </c>
      <c r="O200" t="str">
        <f t="shared" si="11"/>
        <v>Dark</v>
      </c>
      <c r="P200" t="str">
        <f>_xlfn.XLOOKUP(Table1[[#This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cm="1">
        <f t="array" ref="G201">IF(_xlfn.XLOOKUP(C201,customers!$A$1:$A$1001,customers!$C$1:$C$1001,_xleta.N/A,0)=0,"",_xlfn.XLOOKUP(C201,customers!$A$1:$A$1001,customers!$C$1:$C$1001,_xleta.N/A,0))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f t="shared" si="9"/>
        <v>38.04</v>
      </c>
      <c r="N201" t="str">
        <f t="shared" si="10"/>
        <v>Liberica</v>
      </c>
      <c r="O201" t="str">
        <f t="shared" si="11"/>
        <v>Large</v>
      </c>
      <c r="P201" t="str">
        <f>_xlfn.XLOOKUP(Table1[[#This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cm="1">
        <f t="array" ref="G202">IF(_xlfn.XLOOKUP(C202,customers!$A$1:$A$1001,customers!$C$1:$C$1001,_xleta.N/A,0)=0,"",_xlfn.XLOOKUP(C202,customers!$A$1:$A$1001,customers!$C$1:$C$1001,_xleta.N/A,0))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f t="shared" si="9"/>
        <v>41.25</v>
      </c>
      <c r="N202" t="str">
        <f t="shared" si="10"/>
        <v>Excelsa</v>
      </c>
      <c r="O202" t="str">
        <f t="shared" si="11"/>
        <v>Medium</v>
      </c>
      <c r="P202" t="str">
        <f>_xlfn.XLOOKUP(Table1[[#This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cm="1">
        <f t="array" ref="G203">IF(_xlfn.XLOOKUP(C203,customers!$A$1:$A$1001,customers!$C$1:$C$1001,_xleta.N/A,0)=0,"",_xlfn.XLOOKUP(C203,customers!$A$1:$A$1001,customers!$C$1:$C$1001,_xleta.N/A,0))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f t="shared" si="9"/>
        <v>57.06</v>
      </c>
      <c r="N203" t="str">
        <f t="shared" si="10"/>
        <v>Liberica</v>
      </c>
      <c r="O203" t="str">
        <f t="shared" si="11"/>
        <v>Large</v>
      </c>
      <c r="P203" t="str">
        <f>_xlfn.XLOOKUP(Table1[[#This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cm="1">
        <f t="array" ref="G204">IF(_xlfn.XLOOKUP(C204,customers!$A$1:$A$1001,customers!$C$1:$C$1001,_xleta.N/A,0)=0,"",_xlfn.XLOOKUP(C204,customers!$A$1:$A$1001,customers!$C$1:$C$1001,_xleta.N/A,0))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f t="shared" si="9"/>
        <v>178.70999999999998</v>
      </c>
      <c r="N204" t="str">
        <f t="shared" si="10"/>
        <v>Liberica</v>
      </c>
      <c r="O204" t="str">
        <f t="shared" si="11"/>
        <v>Dark</v>
      </c>
      <c r="P204" t="str">
        <f>_xlfn.XLOOKUP(Table1[[#This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cm="1">
        <f t="array" ref="G205">IF(_xlfn.XLOOKUP(C205,customers!$A$1:$A$1001,customers!$C$1:$C$1001,_xleta.N/A,0)=0,"",_xlfn.XLOOKUP(C205,customers!$A$1:$A$1001,customers!$C$1:$C$1001,_xleta.N/A,0))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f t="shared" si="9"/>
        <v>4.7549999999999999</v>
      </c>
      <c r="N205" t="str">
        <f t="shared" si="10"/>
        <v>Liberica</v>
      </c>
      <c r="O205" t="str">
        <f t="shared" si="11"/>
        <v>Large</v>
      </c>
      <c r="P205" t="str">
        <f>_xlfn.XLOOKUP(Table1[[#This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cm="1">
        <f t="array" ref="G206">IF(_xlfn.XLOOKUP(C206,customers!$A$1:$A$1001,customers!$C$1:$C$1001,_xleta.N/A,0)=0,"",_xlfn.XLOOKUP(C206,customers!$A$1:$A$1001,customers!$C$1:$C$1001,_xleta.N/A,0))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f t="shared" si="9"/>
        <v>82.5</v>
      </c>
      <c r="N206" t="str">
        <f t="shared" si="10"/>
        <v>Excelsa</v>
      </c>
      <c r="O206" t="str">
        <f t="shared" si="11"/>
        <v>Medium</v>
      </c>
      <c r="P206" t="str">
        <f>_xlfn.XLOOKUP(Table1[[#This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cm="1">
        <f t="array" ref="G207">IF(_xlfn.XLOOKUP(C207,customers!$A$1:$A$1001,customers!$C$1:$C$1001,_xleta.N/A,0)=0,"",_xlfn.XLOOKUP(C207,customers!$A$1:$A$1001,customers!$C$1:$C$1001,_xleta.N/A,0))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f t="shared" si="9"/>
        <v>8.0549999999999997</v>
      </c>
      <c r="N207" t="str">
        <f t="shared" si="10"/>
        <v>Robusta</v>
      </c>
      <c r="O207" t="str">
        <f t="shared" si="11"/>
        <v>Dark</v>
      </c>
      <c r="P207" t="str">
        <f>_xlfn.XLOOKUP(Table1[[#This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cm="1">
        <f t="array" ref="G208">IF(_xlfn.XLOOKUP(C208,customers!$A$1:$A$1001,customers!$C$1:$C$1001,_xleta.N/A,0)=0,"",_xlfn.XLOOKUP(C208,customers!$A$1:$A$1001,customers!$C$1:$C$1001,_xleta.N/A,0))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f t="shared" si="9"/>
        <v>22.5</v>
      </c>
      <c r="N208" t="str">
        <f t="shared" si="10"/>
        <v>Arabica</v>
      </c>
      <c r="O208" t="str">
        <f t="shared" si="11"/>
        <v>Medium</v>
      </c>
      <c r="P208" t="str">
        <f>_xlfn.XLOOKUP(Table1[[#This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cm="1">
        <f t="array" ref="G209">IF(_xlfn.XLOOKUP(C209,customers!$A$1:$A$1001,customers!$C$1:$C$1001,_xleta.N/A,0)=0,"",_xlfn.XLOOKUP(C209,customers!$A$1:$A$1001,customers!$C$1:$C$1001,_xleta.N/A,0))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f t="shared" si="9"/>
        <v>40.5</v>
      </c>
      <c r="N209" t="str">
        <f t="shared" si="10"/>
        <v>Arabica</v>
      </c>
      <c r="O209" t="str">
        <f t="shared" si="11"/>
        <v>Medium</v>
      </c>
      <c r="P209" t="str">
        <f>_xlfn.XLOOKUP(Table1[[#This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cm="1">
        <f t="array" ref="G210">IF(_xlfn.XLOOKUP(C210,customers!$A$1:$A$1001,customers!$C$1:$C$1001,_xleta.N/A,0)=0,"",_xlfn.XLOOKUP(C210,customers!$A$1:$A$1001,customers!$C$1:$C$1001,_xleta.N/A,0))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f t="shared" si="9"/>
        <v>29.16</v>
      </c>
      <c r="N210" t="str">
        <f t="shared" si="10"/>
        <v>Excelsa</v>
      </c>
      <c r="O210" t="str">
        <f t="shared" si="11"/>
        <v>Dark</v>
      </c>
      <c r="P210" t="str">
        <f>_xlfn.XLOOKUP(Table1[[#This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cm="1">
        <f t="array" ref="G211">IF(_xlfn.XLOOKUP(C211,customers!$A$1:$A$1001,customers!$C$1:$C$1001,_xleta.N/A,0)=0,"",_xlfn.XLOOKUP(C211,customers!$A$1:$A$1001,customers!$C$1:$C$1001,_xleta.N/A,0))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f t="shared" si="9"/>
        <v>6.75</v>
      </c>
      <c r="N211" t="str">
        <f t="shared" si="10"/>
        <v>Arabica</v>
      </c>
      <c r="O211" t="str">
        <f t="shared" si="11"/>
        <v>Medium</v>
      </c>
      <c r="P211" t="str">
        <f>_xlfn.XLOOKUP(Table1[[#This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cm="1">
        <f t="array" ref="G212">IF(_xlfn.XLOOKUP(C212,customers!$A$1:$A$1001,customers!$C$1:$C$1001,_xleta.N/A,0)=0,"",_xlfn.XLOOKUP(C212,customers!$A$1:$A$1001,customers!$C$1:$C$1001,_xleta.N/A,0))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f t="shared" si="9"/>
        <v>51.8</v>
      </c>
      <c r="N212" t="str">
        <f t="shared" si="10"/>
        <v>Liberica</v>
      </c>
      <c r="O212" t="str">
        <f t="shared" si="11"/>
        <v>Dark</v>
      </c>
      <c r="P212" t="str">
        <f>_xlfn.XLOOKUP(Table1[[#This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cm="1">
        <f t="array" ref="G213">IF(_xlfn.XLOOKUP(C213,customers!$A$1:$A$1001,customers!$C$1:$C$1001,_xleta.N/A,0)=0,"",_xlfn.XLOOKUP(C213,customers!$A$1:$A$1001,customers!$C$1:$C$1001,_xleta.N/A,0))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f t="shared" si="9"/>
        <v>53.46</v>
      </c>
      <c r="N213" t="str">
        <f t="shared" si="10"/>
        <v>Excelsa</v>
      </c>
      <c r="O213" t="str">
        <f t="shared" si="11"/>
        <v>Large</v>
      </c>
      <c r="P213" t="str">
        <f>_xlfn.XLOOKUP(Table1[[#This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cm="1">
        <f t="array" ref="G214">IF(_xlfn.XLOOKUP(C214,customers!$A$1:$A$1001,customers!$C$1:$C$1001,_xleta.N/A,0)=0,"",_xlfn.XLOOKUP(C214,customers!$A$1:$A$1001,customers!$C$1:$C$1001,_xleta.N/A,0))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f t="shared" si="9"/>
        <v>14.58</v>
      </c>
      <c r="N214" t="str">
        <f t="shared" si="10"/>
        <v>Excelsa</v>
      </c>
      <c r="O214" t="str">
        <f t="shared" si="11"/>
        <v>Dark</v>
      </c>
      <c r="P214" t="str">
        <f>_xlfn.XLOOKUP(Table1[[#This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cm="1">
        <f t="array" ref="G215">IF(_xlfn.XLOOKUP(C215,customers!$A$1:$A$1001,customers!$C$1:$C$1001,_xleta.N/A,0)=0,"",_xlfn.XLOOKUP(C215,customers!$A$1:$A$1001,customers!$C$1:$C$1001,_xleta.N/A,0))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f t="shared" si="9"/>
        <v>20.584999999999997</v>
      </c>
      <c r="N215" t="str">
        <f t="shared" si="10"/>
        <v>Robusta</v>
      </c>
      <c r="O215" t="str">
        <f t="shared" si="11"/>
        <v>Dark</v>
      </c>
      <c r="P215" t="str">
        <f>_xlfn.XLOOKUP(Table1[[#This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cm="1">
        <f t="array" ref="G216">IF(_xlfn.XLOOKUP(C216,customers!$A$1:$A$1001,customers!$C$1:$C$1001,_xleta.N/A,0)=0,"",_xlfn.XLOOKUP(C216,customers!$A$1:$A$1001,customers!$C$1:$C$1001,_xleta.N/A,0))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f t="shared" si="9"/>
        <v>31.7</v>
      </c>
      <c r="N216" t="str">
        <f t="shared" si="10"/>
        <v>Liberica</v>
      </c>
      <c r="O216" t="str">
        <f t="shared" si="11"/>
        <v>Large</v>
      </c>
      <c r="P216" t="str">
        <f>_xlfn.XLOOKUP(Table1[[#This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cm="1">
        <f t="array" ref="G217">IF(_xlfn.XLOOKUP(C217,customers!$A$1:$A$1001,customers!$C$1:$C$1001,_xleta.N/A,0)=0,"",_xlfn.XLOOKUP(C217,customers!$A$1:$A$1001,customers!$C$1:$C$1001,_xleta.N/A,0))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f t="shared" si="9"/>
        <v>23.31</v>
      </c>
      <c r="N217" t="str">
        <f t="shared" si="10"/>
        <v>Liberica</v>
      </c>
      <c r="O217" t="str">
        <f t="shared" si="11"/>
        <v>Dark</v>
      </c>
      <c r="P217" t="str">
        <f>_xlfn.XLOOKUP(Table1[[#This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cm="1">
        <f t="array" ref="G218">IF(_xlfn.XLOOKUP(C218,customers!$A$1:$A$1001,customers!$C$1:$C$1001,_xleta.N/A,0)=0,"",_xlfn.XLOOKUP(C218,customers!$A$1:$A$1001,customers!$C$1:$C$1001,_xleta.N/A,0))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f t="shared" si="9"/>
        <v>58.2</v>
      </c>
      <c r="N218" t="str">
        <f t="shared" si="10"/>
        <v>Liberica</v>
      </c>
      <c r="O218" t="str">
        <f t="shared" si="11"/>
        <v>Medium</v>
      </c>
      <c r="P218" t="str">
        <f>_xlfn.XLOOKUP(Table1[[#This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cm="1">
        <f t="array" ref="G219">IF(_xlfn.XLOOKUP(C219,customers!$A$1:$A$1001,customers!$C$1:$C$1001,_xleta.N/A,0)=0,"",_xlfn.XLOOKUP(C219,customers!$A$1:$A$1001,customers!$C$1:$C$1001,_xleta.N/A,0))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f t="shared" si="9"/>
        <v>35.64</v>
      </c>
      <c r="N219" t="str">
        <f t="shared" si="10"/>
        <v>Excelsa</v>
      </c>
      <c r="O219" t="str">
        <f t="shared" si="11"/>
        <v>Large</v>
      </c>
      <c r="P219" t="str">
        <f>_xlfn.XLOOKUP(Table1[[#This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cm="1">
        <f t="array" ref="G220">IF(_xlfn.XLOOKUP(C220,customers!$A$1:$A$1001,customers!$C$1:$C$1001,_xleta.N/A,0)=0,"",_xlfn.XLOOKUP(C220,customers!$A$1:$A$1001,customers!$C$1:$C$1001,_xleta.N/A,0))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f t="shared" si="9"/>
        <v>56.25</v>
      </c>
      <c r="N220" t="str">
        <f t="shared" si="10"/>
        <v>Arabica</v>
      </c>
      <c r="O220" t="str">
        <f t="shared" si="11"/>
        <v>Medium</v>
      </c>
      <c r="P220" t="str">
        <f>_xlfn.XLOOKUP(Table1[[#This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cm="1">
        <f t="array" ref="G221">IF(_xlfn.XLOOKUP(C221,customers!$A$1:$A$1001,customers!$C$1:$C$1001,_xleta.N/A,0)=0,"",_xlfn.XLOOKUP(C221,customers!$A$1:$A$1001,customers!$C$1:$C$1001,_xleta.N/A,0))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f t="shared" si="9"/>
        <v>10.754999999999999</v>
      </c>
      <c r="N221" t="str">
        <f t="shared" si="10"/>
        <v>Robusta</v>
      </c>
      <c r="O221" t="str">
        <f t="shared" si="11"/>
        <v>Large</v>
      </c>
      <c r="P221" t="str">
        <f>_xlfn.XLOOKUP(Table1[[#This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cm="1">
        <f t="array" ref="G222">IF(_xlfn.XLOOKUP(C222,customers!$A$1:$A$1001,customers!$C$1:$C$1001,_xleta.N/A,0)=0,"",_xlfn.XLOOKUP(C222,customers!$A$1:$A$1001,customers!$C$1:$C$1001,_xleta.N/A,0))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f t="shared" si="9"/>
        <v>14.924999999999999</v>
      </c>
      <c r="N222" t="str">
        <f t="shared" si="10"/>
        <v>Robusta</v>
      </c>
      <c r="O222" t="str">
        <f t="shared" si="11"/>
        <v>Medium</v>
      </c>
      <c r="P222" t="str">
        <f>_xlfn.XLOOKUP(Table1[[#This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cm="1">
        <f t="array" ref="G223">IF(_xlfn.XLOOKUP(C223,customers!$A$1:$A$1001,customers!$C$1:$C$1001,_xleta.N/A,0)=0,"",_xlfn.XLOOKUP(C223,customers!$A$1:$A$1001,customers!$C$1:$C$1001,_xleta.N/A,0))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f t="shared" si="9"/>
        <v>77.699999999999989</v>
      </c>
      <c r="N223" t="str">
        <f t="shared" si="10"/>
        <v>Arabica</v>
      </c>
      <c r="O223" t="str">
        <f t="shared" si="11"/>
        <v>Large</v>
      </c>
      <c r="P223" t="str">
        <f>_xlfn.XLOOKUP(Table1[[#This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cm="1">
        <f t="array" ref="G224">IF(_xlfn.XLOOKUP(C224,customers!$A$1:$A$1001,customers!$C$1:$C$1001,_xleta.N/A,0)=0,"",_xlfn.XLOOKUP(C224,customers!$A$1:$A$1001,customers!$C$1:$C$1001,_xleta.N/A,0))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f t="shared" si="9"/>
        <v>23.31</v>
      </c>
      <c r="N224" t="str">
        <f t="shared" si="10"/>
        <v>Liberica</v>
      </c>
      <c r="O224" t="str">
        <f t="shared" si="11"/>
        <v>Dark</v>
      </c>
      <c r="P224" t="str">
        <f>_xlfn.XLOOKUP(Table1[[#This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cm="1">
        <f t="array" ref="G225">IF(_xlfn.XLOOKUP(C225,customers!$A$1:$A$1001,customers!$C$1:$C$1001,_xleta.N/A,0)=0,"",_xlfn.XLOOKUP(C225,customers!$A$1:$A$1001,customers!$C$1:$C$1001,_xleta.N/A,0))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f t="shared" si="9"/>
        <v>59.4</v>
      </c>
      <c r="N225" t="str">
        <f t="shared" si="10"/>
        <v>Excelsa</v>
      </c>
      <c r="O225" t="str">
        <f t="shared" si="11"/>
        <v>Large</v>
      </c>
      <c r="P225" t="str">
        <f>_xlfn.XLOOKUP(Table1[[#This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cm="1">
        <f t="array" ref="G226">IF(_xlfn.XLOOKUP(C226,customers!$A$1:$A$1001,customers!$C$1:$C$1001,_xleta.N/A,0)=0,"",_xlfn.XLOOKUP(C226,customers!$A$1:$A$1001,customers!$C$1:$C$1001,_xleta.N/A,0))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f t="shared" si="9"/>
        <v>119.13999999999999</v>
      </c>
      <c r="N226" t="str">
        <f t="shared" si="10"/>
        <v>Liberica</v>
      </c>
      <c r="O226" t="str">
        <f t="shared" si="11"/>
        <v>Dark</v>
      </c>
      <c r="P226" t="str">
        <f>_xlfn.XLOOKUP(Table1[[#This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cm="1">
        <f t="array" ref="G227">IF(_xlfn.XLOOKUP(C227,customers!$A$1:$A$1001,customers!$C$1:$C$1001,_xleta.N/A,0)=0,"",_xlfn.XLOOKUP(C227,customers!$A$1:$A$1001,customers!$C$1:$C$1001,_xleta.N/A,0))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f t="shared" si="9"/>
        <v>14.339999999999998</v>
      </c>
      <c r="N227" t="str">
        <f t="shared" si="10"/>
        <v>Robusta</v>
      </c>
      <c r="O227" t="str">
        <f t="shared" si="11"/>
        <v>Large</v>
      </c>
      <c r="P227" t="str">
        <f>_xlfn.XLOOKUP(Table1[[#This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cm="1">
        <f t="array" ref="G228">IF(_xlfn.XLOOKUP(C228,customers!$A$1:$A$1001,customers!$C$1:$C$1001,_xleta.N/A,0)=0,"",_xlfn.XLOOKUP(C228,customers!$A$1:$A$1001,customers!$C$1:$C$1001,_xleta.N/A,0))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f t="shared" si="9"/>
        <v>129.37499999999997</v>
      </c>
      <c r="N228" t="str">
        <f t="shared" si="10"/>
        <v>Arabica</v>
      </c>
      <c r="O228" t="str">
        <f t="shared" si="11"/>
        <v>Medium</v>
      </c>
      <c r="P228" t="str">
        <f>_xlfn.XLOOKUP(Table1[[#This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cm="1">
        <f t="array" ref="G229">IF(_xlfn.XLOOKUP(C229,customers!$A$1:$A$1001,customers!$C$1:$C$1001,_xleta.N/A,0)=0,"",_xlfn.XLOOKUP(C229,customers!$A$1:$A$1001,customers!$C$1:$C$1001,_xleta.N/A,0))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f t="shared" si="9"/>
        <v>16.11</v>
      </c>
      <c r="N229" t="str">
        <f t="shared" si="10"/>
        <v>Robusta</v>
      </c>
      <c r="O229" t="str">
        <f t="shared" si="11"/>
        <v>Dark</v>
      </c>
      <c r="P229" t="str">
        <f>_xlfn.XLOOKUP(Table1[[#This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cm="1">
        <f t="array" ref="G230">IF(_xlfn.XLOOKUP(C230,customers!$A$1:$A$1001,customers!$C$1:$C$1001,_xleta.N/A,0)=0,"",_xlfn.XLOOKUP(C230,customers!$A$1:$A$1001,customers!$C$1:$C$1001,_xleta.N/A,0))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f t="shared" si="9"/>
        <v>17.924999999999997</v>
      </c>
      <c r="N230" t="str">
        <f t="shared" si="10"/>
        <v>Robusta</v>
      </c>
      <c r="O230" t="str">
        <f t="shared" si="11"/>
        <v>Large</v>
      </c>
      <c r="P230" t="str">
        <f>_xlfn.XLOOKUP(Table1[[#This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cm="1">
        <f t="array" ref="G231">IF(_xlfn.XLOOKUP(C231,customers!$A$1:$A$1001,customers!$C$1:$C$1001,_xleta.N/A,0)=0,"",_xlfn.XLOOKUP(C231,customers!$A$1:$A$1001,customers!$C$1:$C$1001,_xleta.N/A,0))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f t="shared" si="9"/>
        <v>8.73</v>
      </c>
      <c r="N231" t="str">
        <f t="shared" si="10"/>
        <v>Liberica</v>
      </c>
      <c r="O231" t="str">
        <f t="shared" si="11"/>
        <v>Medium</v>
      </c>
      <c r="P231" t="str">
        <f>_xlfn.XLOOKUP(Table1[[#This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cm="1">
        <f t="array" ref="G232">IF(_xlfn.XLOOKUP(C232,customers!$A$1:$A$1001,customers!$C$1:$C$1001,_xleta.N/A,0)=0,"",_xlfn.XLOOKUP(C232,customers!$A$1:$A$1001,customers!$C$1:$C$1001,_xleta.N/A,0))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f t="shared" si="9"/>
        <v>51.749999999999993</v>
      </c>
      <c r="N232" t="str">
        <f t="shared" si="10"/>
        <v>Arabica</v>
      </c>
      <c r="O232" t="str">
        <f t="shared" si="11"/>
        <v>Medium</v>
      </c>
      <c r="P232" t="str">
        <f>_xlfn.XLOOKUP(Table1[[#This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cm="1">
        <f t="array" ref="G233">IF(_xlfn.XLOOKUP(C233,customers!$A$1:$A$1001,customers!$C$1:$C$1001,_xleta.N/A,0)=0,"",_xlfn.XLOOKUP(C233,customers!$A$1:$A$1001,customers!$C$1:$C$1001,_xleta.N/A,0))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f t="shared" si="9"/>
        <v>8.73</v>
      </c>
      <c r="N233" t="str">
        <f t="shared" si="10"/>
        <v>Liberica</v>
      </c>
      <c r="O233" t="str">
        <f t="shared" si="11"/>
        <v>Medium</v>
      </c>
      <c r="P233" t="str">
        <f>_xlfn.XLOOKUP(Table1[[#This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cm="1">
        <f t="array" ref="G234">IF(_xlfn.XLOOKUP(C234,customers!$A$1:$A$1001,customers!$C$1:$C$1001,_xleta.N/A,0)=0,"",_xlfn.XLOOKUP(C234,customers!$A$1:$A$1001,customers!$C$1:$C$1001,_xleta.N/A,0))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f t="shared" si="9"/>
        <v>23.774999999999999</v>
      </c>
      <c r="N234" t="str">
        <f t="shared" si="10"/>
        <v>Liberica</v>
      </c>
      <c r="O234" t="str">
        <f t="shared" si="11"/>
        <v>Large</v>
      </c>
      <c r="P234" t="str">
        <f>_xlfn.XLOOKUP(Table1[[#This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cm="1">
        <f t="array" ref="G235">IF(_xlfn.XLOOKUP(C235,customers!$A$1:$A$1001,customers!$C$1:$C$1001,_xleta.N/A,0)=0,"",_xlfn.XLOOKUP(C235,customers!$A$1:$A$1001,customers!$C$1:$C$1001,_xleta.N/A,0))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f t="shared" si="9"/>
        <v>20.625</v>
      </c>
      <c r="N235" t="str">
        <f t="shared" si="10"/>
        <v>Excelsa</v>
      </c>
      <c r="O235" t="str">
        <f t="shared" si="11"/>
        <v>Medium</v>
      </c>
      <c r="P235" t="str">
        <f>_xlfn.XLOOKUP(Table1[[#This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cm="1">
        <f t="array" ref="G236">IF(_xlfn.XLOOKUP(C236,customers!$A$1:$A$1001,customers!$C$1:$C$1001,_xleta.N/A,0)=0,"",_xlfn.XLOOKUP(C236,customers!$A$1:$A$1001,customers!$C$1:$C$1001,_xleta.N/A,0))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f t="shared" si="9"/>
        <v>36.454999999999998</v>
      </c>
      <c r="N236" t="str">
        <f t="shared" si="10"/>
        <v>Liberica</v>
      </c>
      <c r="O236" t="str">
        <f t="shared" si="11"/>
        <v>Large</v>
      </c>
      <c r="P236" t="str">
        <f>_xlfn.XLOOKUP(Table1[[#This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cm="1">
        <f t="array" ref="G237">IF(_xlfn.XLOOKUP(C237,customers!$A$1:$A$1001,customers!$C$1:$C$1001,_xleta.N/A,0)=0,"",_xlfn.XLOOKUP(C237,customers!$A$1:$A$1001,customers!$C$1:$C$1001,_xleta.N/A,0))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f t="shared" si="9"/>
        <v>182.27499999999998</v>
      </c>
      <c r="N237" t="str">
        <f t="shared" si="10"/>
        <v>Liberica</v>
      </c>
      <c r="O237" t="str">
        <f t="shared" si="11"/>
        <v>Large</v>
      </c>
      <c r="P237" t="str">
        <f>_xlfn.XLOOKUP(Table1[[#This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cm="1">
        <f t="array" ref="G238">IF(_xlfn.XLOOKUP(C238,customers!$A$1:$A$1001,customers!$C$1:$C$1001,_xleta.N/A,0)=0,"",_xlfn.XLOOKUP(C238,customers!$A$1:$A$1001,customers!$C$1:$C$1001,_xleta.N/A,0))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f t="shared" si="9"/>
        <v>89.35499999999999</v>
      </c>
      <c r="N238" t="str">
        <f t="shared" si="10"/>
        <v>Liberica</v>
      </c>
      <c r="O238" t="str">
        <f t="shared" si="11"/>
        <v>Dark</v>
      </c>
      <c r="P238" t="str">
        <f>_xlfn.XLOOKUP(Table1[[#This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cm="1">
        <f t="array" ref="G239">IF(_xlfn.XLOOKUP(C239,customers!$A$1:$A$1001,customers!$C$1:$C$1001,_xleta.N/A,0)=0,"",_xlfn.XLOOKUP(C239,customers!$A$1:$A$1001,customers!$C$1:$C$1001,_xleta.N/A,0))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f t="shared" si="9"/>
        <v>3.5849999999999995</v>
      </c>
      <c r="N239" t="str">
        <f t="shared" si="10"/>
        <v>Robusta</v>
      </c>
      <c r="O239" t="str">
        <f t="shared" si="11"/>
        <v>Large</v>
      </c>
      <c r="P239" t="str">
        <f>_xlfn.XLOOKUP(Table1[[#This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cm="1">
        <f t="array" ref="G240">IF(_xlfn.XLOOKUP(C240,customers!$A$1:$A$1001,customers!$C$1:$C$1001,_xleta.N/A,0)=0,"",_xlfn.XLOOKUP(C240,customers!$A$1:$A$1001,customers!$C$1:$C$1001,_xleta.N/A,0))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f t="shared" si="9"/>
        <v>45.769999999999996</v>
      </c>
      <c r="N240" t="str">
        <f t="shared" si="10"/>
        <v>Robusta</v>
      </c>
      <c r="O240" t="str">
        <f t="shared" si="11"/>
        <v>Medium</v>
      </c>
      <c r="P240" t="str">
        <f>_xlfn.XLOOKUP(Table1[[#This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cm="1">
        <f t="array" ref="G241">IF(_xlfn.XLOOKUP(C241,customers!$A$1:$A$1001,customers!$C$1:$C$1001,_xleta.N/A,0)=0,"",_xlfn.XLOOKUP(C241,customers!$A$1:$A$1001,customers!$C$1:$C$1001,_xleta.N/A,0))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f t="shared" si="9"/>
        <v>59.4</v>
      </c>
      <c r="N241" t="str">
        <f t="shared" si="10"/>
        <v>Excelsa</v>
      </c>
      <c r="O241" t="str">
        <f t="shared" si="11"/>
        <v>Large</v>
      </c>
      <c r="P241" t="str">
        <f>_xlfn.XLOOKUP(Table1[[#This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cm="1">
        <f t="array" ref="G242">IF(_xlfn.XLOOKUP(C242,customers!$A$1:$A$1001,customers!$C$1:$C$1001,_xleta.N/A,0)=0,"",_xlfn.XLOOKUP(C242,customers!$A$1:$A$1001,customers!$C$1:$C$1001,_xleta.N/A,0))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f t="shared" si="9"/>
        <v>155.24999999999997</v>
      </c>
      <c r="N242" t="str">
        <f t="shared" si="10"/>
        <v>Arabica</v>
      </c>
      <c r="O242" t="str">
        <f t="shared" si="11"/>
        <v>Medium</v>
      </c>
      <c r="P242" t="str">
        <f>_xlfn.XLOOKUP(Table1[[#This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cm="1">
        <f t="array" ref="G243">IF(_xlfn.XLOOKUP(C243,customers!$A$1:$A$1001,customers!$C$1:$C$1001,_xleta.N/A,0)=0,"",_xlfn.XLOOKUP(C243,customers!$A$1:$A$1001,customers!$C$1:$C$1001,_xleta.N/A,0))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f t="shared" si="9"/>
        <v>45.769999999999996</v>
      </c>
      <c r="N243" t="str">
        <f t="shared" si="10"/>
        <v>Robusta</v>
      </c>
      <c r="O243" t="str">
        <f t="shared" si="11"/>
        <v>Medium</v>
      </c>
      <c r="P243" t="str">
        <f>_xlfn.XLOOKUP(Table1[[#This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cm="1">
        <f t="array" ref="G244">IF(_xlfn.XLOOKUP(C244,customers!$A$1:$A$1001,customers!$C$1:$C$1001,_xleta.N/A,0)=0,"",_xlfn.XLOOKUP(C244,customers!$A$1:$A$1001,customers!$C$1:$C$1001,_xleta.N/A,0))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f t="shared" si="9"/>
        <v>36.450000000000003</v>
      </c>
      <c r="N244" t="str">
        <f t="shared" si="10"/>
        <v>Excelsa</v>
      </c>
      <c r="O244" t="str">
        <f t="shared" si="11"/>
        <v>Dark</v>
      </c>
      <c r="P244" t="str">
        <f>_xlfn.XLOOKUP(Table1[[#This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cm="1">
        <f t="array" ref="G245">IF(_xlfn.XLOOKUP(C245,customers!$A$1:$A$1001,customers!$C$1:$C$1001,_xleta.N/A,0)=0,"",_xlfn.XLOOKUP(C245,customers!$A$1:$A$1001,customers!$C$1:$C$1001,_xleta.N/A,0))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f t="shared" si="9"/>
        <v>29.16</v>
      </c>
      <c r="N245" t="str">
        <f t="shared" si="10"/>
        <v>Excelsa</v>
      </c>
      <c r="O245" t="str">
        <f t="shared" si="11"/>
        <v>Dark</v>
      </c>
      <c r="P245" t="str">
        <f>_xlfn.XLOOKUP(Table1[[#This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cm="1">
        <f t="array" ref="G246">IF(_xlfn.XLOOKUP(C246,customers!$A$1:$A$1001,customers!$C$1:$C$1001,_xleta.N/A,0)=0,"",_xlfn.XLOOKUP(C246,customers!$A$1:$A$1001,customers!$C$1:$C$1001,_xleta.N/A,0))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f t="shared" si="9"/>
        <v>133.85999999999999</v>
      </c>
      <c r="N246" t="str">
        <f t="shared" si="10"/>
        <v>Liberica</v>
      </c>
      <c r="O246" t="str">
        <f t="shared" si="11"/>
        <v>Medium</v>
      </c>
      <c r="P246" t="str">
        <f>_xlfn.XLOOKUP(Table1[[#This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cm="1">
        <f t="array" ref="G247">IF(_xlfn.XLOOKUP(C247,customers!$A$1:$A$1001,customers!$C$1:$C$1001,_xleta.N/A,0)=0,"",_xlfn.XLOOKUP(C247,customers!$A$1:$A$1001,customers!$C$1:$C$1001,_xleta.N/A,0))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f t="shared" si="9"/>
        <v>23.774999999999999</v>
      </c>
      <c r="N247" t="str">
        <f t="shared" si="10"/>
        <v>Liberica</v>
      </c>
      <c r="O247" t="str">
        <f t="shared" si="11"/>
        <v>Large</v>
      </c>
      <c r="P247" t="str">
        <f>_xlfn.XLOOKUP(Table1[[#This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cm="1">
        <f t="array" ref="G248">IF(_xlfn.XLOOKUP(C248,customers!$A$1:$A$1001,customers!$C$1:$C$1001,_xleta.N/A,0)=0,"",_xlfn.XLOOKUP(C248,customers!$A$1:$A$1001,customers!$C$1:$C$1001,_xleta.N/A,0))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f t="shared" si="9"/>
        <v>38.849999999999994</v>
      </c>
      <c r="N248" t="str">
        <f t="shared" si="10"/>
        <v>Liberica</v>
      </c>
      <c r="O248" t="str">
        <f t="shared" si="11"/>
        <v>Dark</v>
      </c>
      <c r="P248" t="str">
        <f>_xlfn.XLOOKUP(Table1[[#This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cm="1">
        <f t="array" ref="G249">IF(_xlfn.XLOOKUP(C249,customers!$A$1:$A$1001,customers!$C$1:$C$1001,_xleta.N/A,0)=0,"",_xlfn.XLOOKUP(C249,customers!$A$1:$A$1001,customers!$C$1:$C$1001,_xleta.N/A,0))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f t="shared" si="9"/>
        <v>21.509999999999998</v>
      </c>
      <c r="N249" t="str">
        <f t="shared" si="10"/>
        <v>Robusta</v>
      </c>
      <c r="O249" t="str">
        <f t="shared" si="11"/>
        <v>Large</v>
      </c>
      <c r="P249" t="str">
        <f>_xlfn.XLOOKUP(Table1[[#This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cm="1">
        <f t="array" ref="G250">IF(_xlfn.XLOOKUP(C250,customers!$A$1:$A$1001,customers!$C$1:$C$1001,_xleta.N/A,0)=0,"",_xlfn.XLOOKUP(C250,customers!$A$1:$A$1001,customers!$C$1:$C$1001,_xleta.N/A,0))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f t="shared" si="9"/>
        <v>9.9499999999999993</v>
      </c>
      <c r="N250" t="str">
        <f t="shared" si="10"/>
        <v>Arabica</v>
      </c>
      <c r="O250" t="str">
        <f t="shared" si="11"/>
        <v>Dark</v>
      </c>
      <c r="P250" t="str">
        <f>_xlfn.XLOOKUP(Table1[[#This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cm="1">
        <f t="array" ref="G251">IF(_xlfn.XLOOKUP(C251,customers!$A$1:$A$1001,customers!$C$1:$C$1001,_xleta.N/A,0)=0,"",_xlfn.XLOOKUP(C251,customers!$A$1:$A$1001,customers!$C$1:$C$1001,_xleta.N/A,0))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f t="shared" si="9"/>
        <v>15.85</v>
      </c>
      <c r="N251" t="str">
        <f t="shared" si="10"/>
        <v>Liberica</v>
      </c>
      <c r="O251" t="str">
        <f t="shared" si="11"/>
        <v>Large</v>
      </c>
      <c r="P251" t="str">
        <f>_xlfn.XLOOKUP(Table1[[#This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cm="1">
        <f t="array" ref="G252">IF(_xlfn.XLOOKUP(C252,customers!$A$1:$A$1001,customers!$C$1:$C$1001,_xleta.N/A,0)=0,"",_xlfn.XLOOKUP(C252,customers!$A$1:$A$1001,customers!$C$1:$C$1001,_xleta.N/A,0))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f t="shared" si="9"/>
        <v>2.9849999999999999</v>
      </c>
      <c r="N252" t="str">
        <f t="shared" si="10"/>
        <v>Robusta</v>
      </c>
      <c r="O252" t="str">
        <f t="shared" si="11"/>
        <v>Medium</v>
      </c>
      <c r="P252" t="str">
        <f>_xlfn.XLOOKUP(Table1[[#This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cm="1">
        <f t="array" ref="G253">IF(_xlfn.XLOOKUP(C253,customers!$A$1:$A$1001,customers!$C$1:$C$1001,_xleta.N/A,0)=0,"",_xlfn.XLOOKUP(C253,customers!$A$1:$A$1001,customers!$C$1:$C$1001,_xleta.N/A,0))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f t="shared" si="9"/>
        <v>68.75</v>
      </c>
      <c r="N253" t="str">
        <f t="shared" si="10"/>
        <v>Excelsa</v>
      </c>
      <c r="O253" t="str">
        <f t="shared" si="11"/>
        <v>Medium</v>
      </c>
      <c r="P253" t="str">
        <f>_xlfn.XLOOKUP(Table1[[#This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cm="1">
        <f t="array" ref="G254">IF(_xlfn.XLOOKUP(C254,customers!$A$1:$A$1001,customers!$C$1:$C$1001,_xleta.N/A,0)=0,"",_xlfn.XLOOKUP(C254,customers!$A$1:$A$1001,customers!$C$1:$C$1001,_xleta.N/A,0))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f t="shared" si="9"/>
        <v>29.849999999999998</v>
      </c>
      <c r="N254" t="str">
        <f t="shared" si="10"/>
        <v>Arabica</v>
      </c>
      <c r="O254" t="str">
        <f t="shared" si="11"/>
        <v>Dark</v>
      </c>
      <c r="P254" t="str">
        <f>_xlfn.XLOOKUP(Table1[[#This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cm="1">
        <f t="array" ref="G255">IF(_xlfn.XLOOKUP(C255,customers!$A$1:$A$1001,customers!$C$1:$C$1001,_xleta.N/A,0)=0,"",_xlfn.XLOOKUP(C255,customers!$A$1:$A$1001,customers!$C$1:$C$1001,_xleta.N/A,0))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f t="shared" si="9"/>
        <v>58.2</v>
      </c>
      <c r="N255" t="str">
        <f t="shared" si="10"/>
        <v>Liberica</v>
      </c>
      <c r="O255" t="str">
        <f t="shared" si="11"/>
        <v>Medium</v>
      </c>
      <c r="P255" t="str">
        <f>_xlfn.XLOOKUP(Table1[[#This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cm="1">
        <f t="array" ref="G256">IF(_xlfn.XLOOKUP(C256,customers!$A$1:$A$1001,customers!$C$1:$C$1001,_xleta.N/A,0)=0,"",_xlfn.XLOOKUP(C256,customers!$A$1:$A$1001,customers!$C$1:$C$1001,_xleta.N/A,0))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f t="shared" si="9"/>
        <v>28.679999999999996</v>
      </c>
      <c r="N256" t="str">
        <f t="shared" si="10"/>
        <v>Robusta</v>
      </c>
      <c r="O256" t="str">
        <f t="shared" si="11"/>
        <v>Large</v>
      </c>
      <c r="P256" t="str">
        <f>_xlfn.XLOOKUP(Table1[[#This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cm="1">
        <f t="array" ref="G257">IF(_xlfn.XLOOKUP(C257,customers!$A$1:$A$1001,customers!$C$1:$C$1001,_xleta.N/A,0)=0,"",_xlfn.XLOOKUP(C257,customers!$A$1:$A$1001,customers!$C$1:$C$1001,_xleta.N/A,0))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f t="shared" si="9"/>
        <v>21.509999999999998</v>
      </c>
      <c r="N257" t="str">
        <f t="shared" si="10"/>
        <v>Robusta</v>
      </c>
      <c r="O257" t="str">
        <f t="shared" si="11"/>
        <v>Large</v>
      </c>
      <c r="P257" t="str">
        <f>_xlfn.XLOOKUP(Table1[[#This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cm="1">
        <f t="array" ref="G258">IF(_xlfn.XLOOKUP(C258,customers!$A$1:$A$1001,customers!$C$1:$C$1001,_xleta.N/A,0)=0,"",_xlfn.XLOOKUP(C258,customers!$A$1:$A$1001,customers!$C$1:$C$1001,_xleta.N/A,0))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f t="shared" si="9"/>
        <v>17.46</v>
      </c>
      <c r="N258" t="str">
        <f t="shared" si="10"/>
        <v>Liberica</v>
      </c>
      <c r="O258" t="str">
        <f t="shared" si="11"/>
        <v>Medium</v>
      </c>
      <c r="P258" t="str">
        <f>_xlfn.XLOOKUP(Table1[[#This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cm="1">
        <f t="array" ref="G259">IF(_xlfn.XLOOKUP(C259,customers!$A$1:$A$1001,customers!$C$1:$C$1001,_xleta.N/A,0)=0,"",_xlfn.XLOOKUP(C259,customers!$A$1:$A$1001,customers!$C$1:$C$1001,_xleta.N/A,0))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f t="shared" ref="M259:M322" si="12">L259*E259</f>
        <v>27.945</v>
      </c>
      <c r="N259" t="str">
        <f t="shared" ref="N259:N322" si="13">IF(I259="ROB","Robusta",IF(I259="EXC","Excelsa",IF(I259="Ara","Arabica",IF(I259="lib","Liberica",""))))</f>
        <v>Excelsa</v>
      </c>
      <c r="O259" t="str">
        <f t="shared" ref="O259:O322" si="14">IF(J259="M","Medium",IF(J259="L","Large",IF(J259="D","Dark","")))</f>
        <v>Dark</v>
      </c>
      <c r="P259" t="str">
        <f>_xlfn.XLOOKUP(Table1[[#This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cm="1">
        <f t="array" ref="G260">IF(_xlfn.XLOOKUP(C260,customers!$A$1:$A$1001,customers!$C$1:$C$1001,_xleta.N/A,0)=0,"",_xlfn.XLOOKUP(C260,customers!$A$1:$A$1001,customers!$C$1:$C$1001,_xleta.N/A,0))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f t="shared" si="12"/>
        <v>139.72499999999999</v>
      </c>
      <c r="N260" t="str">
        <f t="shared" si="13"/>
        <v>Excelsa</v>
      </c>
      <c r="O260" t="str">
        <f t="shared" si="14"/>
        <v>Dark</v>
      </c>
      <c r="P260" t="str">
        <f>_xlfn.XLOOKUP(Table1[[#This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cm="1">
        <f t="array" ref="G261">IF(_xlfn.XLOOKUP(C261,customers!$A$1:$A$1001,customers!$C$1:$C$1001,_xleta.N/A,0)=0,"",_xlfn.XLOOKUP(C261,customers!$A$1:$A$1001,customers!$C$1:$C$1001,_xleta.N/A,0))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f t="shared" si="12"/>
        <v>5.97</v>
      </c>
      <c r="N261" t="str">
        <f t="shared" si="13"/>
        <v>Robusta</v>
      </c>
      <c r="O261" t="str">
        <f t="shared" si="14"/>
        <v>Medium</v>
      </c>
      <c r="P261" t="str">
        <f>_xlfn.XLOOKUP(Table1[[#This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cm="1">
        <f t="array" ref="G262">IF(_xlfn.XLOOKUP(C262,customers!$A$1:$A$1001,customers!$C$1:$C$1001,_xleta.N/A,0)=0,"",_xlfn.XLOOKUP(C262,customers!$A$1:$A$1001,customers!$C$1:$C$1001,_xleta.N/A,0))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f t="shared" si="12"/>
        <v>27.484999999999996</v>
      </c>
      <c r="N262" t="str">
        <f t="shared" si="13"/>
        <v>Robusta</v>
      </c>
      <c r="O262" t="str">
        <f t="shared" si="14"/>
        <v>Large</v>
      </c>
      <c r="P262" t="str">
        <f>_xlfn.XLOOKUP(Table1[[#This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cm="1">
        <f t="array" ref="G263">IF(_xlfn.XLOOKUP(C263,customers!$A$1:$A$1001,customers!$C$1:$C$1001,_xleta.N/A,0)=0,"",_xlfn.XLOOKUP(C263,customers!$A$1:$A$1001,customers!$C$1:$C$1001,_xleta.N/A,0))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f t="shared" si="12"/>
        <v>59.75</v>
      </c>
      <c r="N263" t="str">
        <f t="shared" si="13"/>
        <v>Robusta</v>
      </c>
      <c r="O263" t="str">
        <f t="shared" si="14"/>
        <v>Large</v>
      </c>
      <c r="P263" t="str">
        <f>_xlfn.XLOOKUP(Table1[[#This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cm="1">
        <f t="array" ref="G264">IF(_xlfn.XLOOKUP(C264,customers!$A$1:$A$1001,customers!$C$1:$C$1001,_xleta.N/A,0)=0,"",_xlfn.XLOOKUP(C264,customers!$A$1:$A$1001,customers!$C$1:$C$1001,_xleta.N/A,0))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f t="shared" si="12"/>
        <v>41.25</v>
      </c>
      <c r="N264" t="str">
        <f t="shared" si="13"/>
        <v>Excelsa</v>
      </c>
      <c r="O264" t="str">
        <f t="shared" si="14"/>
        <v>Medium</v>
      </c>
      <c r="P264" t="str">
        <f>_xlfn.XLOOKUP(Table1[[#This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cm="1">
        <f t="array" ref="G265">IF(_xlfn.XLOOKUP(C265,customers!$A$1:$A$1001,customers!$C$1:$C$1001,_xleta.N/A,0)=0,"",_xlfn.XLOOKUP(C265,customers!$A$1:$A$1001,customers!$C$1:$C$1001,_xleta.N/A,0))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f t="shared" si="12"/>
        <v>133.85999999999999</v>
      </c>
      <c r="N265" t="str">
        <f t="shared" si="13"/>
        <v>Liberica</v>
      </c>
      <c r="O265" t="str">
        <f t="shared" si="14"/>
        <v>Medium</v>
      </c>
      <c r="P265" t="str">
        <f>_xlfn.XLOOKUP(Table1[[#This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cm="1">
        <f t="array" ref="G266">IF(_xlfn.XLOOKUP(C266,customers!$A$1:$A$1001,customers!$C$1:$C$1001,_xleta.N/A,0)=0,"",_xlfn.XLOOKUP(C266,customers!$A$1:$A$1001,customers!$C$1:$C$1001,_xleta.N/A,0))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f t="shared" si="12"/>
        <v>59.75</v>
      </c>
      <c r="N266" t="str">
        <f t="shared" si="13"/>
        <v>Robusta</v>
      </c>
      <c r="O266" t="str">
        <f t="shared" si="14"/>
        <v>Large</v>
      </c>
      <c r="P266" t="str">
        <f>_xlfn.XLOOKUP(Table1[[#This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cm="1">
        <f t="array" ref="G267">IF(_xlfn.XLOOKUP(C267,customers!$A$1:$A$1001,customers!$C$1:$C$1001,_xleta.N/A,0)=0,"",_xlfn.XLOOKUP(C267,customers!$A$1:$A$1001,customers!$C$1:$C$1001,_xleta.N/A,0))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f t="shared" si="12"/>
        <v>5.97</v>
      </c>
      <c r="N267" t="str">
        <f t="shared" si="13"/>
        <v>Arabica</v>
      </c>
      <c r="O267" t="str">
        <f t="shared" si="14"/>
        <v>Dark</v>
      </c>
      <c r="P267" t="str">
        <f>_xlfn.XLOOKUP(Table1[[#This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cm="1">
        <f t="array" ref="G268">IF(_xlfn.XLOOKUP(C268,customers!$A$1:$A$1001,customers!$C$1:$C$1001,_xleta.N/A,0)=0,"",_xlfn.XLOOKUP(C268,customers!$A$1:$A$1001,customers!$C$1:$C$1001,_xleta.N/A,0))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f t="shared" si="12"/>
        <v>24.3</v>
      </c>
      <c r="N268" t="str">
        <f t="shared" si="13"/>
        <v>Excelsa</v>
      </c>
      <c r="O268" t="str">
        <f t="shared" si="14"/>
        <v>Dark</v>
      </c>
      <c r="P268" t="str">
        <f>_xlfn.XLOOKUP(Table1[[#This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cm="1">
        <f t="array" ref="G269">IF(_xlfn.XLOOKUP(C269,customers!$A$1:$A$1001,customers!$C$1:$C$1001,_xleta.N/A,0)=0,"",_xlfn.XLOOKUP(C269,customers!$A$1:$A$1001,customers!$C$1:$C$1001,_xleta.N/A,0))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f t="shared" si="12"/>
        <v>21.87</v>
      </c>
      <c r="N269" t="str">
        <f t="shared" si="13"/>
        <v>Excelsa</v>
      </c>
      <c r="O269" t="str">
        <f t="shared" si="14"/>
        <v>Dark</v>
      </c>
      <c r="P269" t="str">
        <f>_xlfn.XLOOKUP(Table1[[#This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cm="1">
        <f t="array" ref="G270">IF(_xlfn.XLOOKUP(C270,customers!$A$1:$A$1001,customers!$C$1:$C$1001,_xleta.N/A,0)=0,"",_xlfn.XLOOKUP(C270,customers!$A$1:$A$1001,customers!$C$1:$C$1001,_xleta.N/A,0))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f t="shared" si="12"/>
        <v>19.899999999999999</v>
      </c>
      <c r="N270" t="str">
        <f t="shared" si="13"/>
        <v>Arabica</v>
      </c>
      <c r="O270" t="str">
        <f t="shared" si="14"/>
        <v>Dark</v>
      </c>
      <c r="P270" t="str">
        <f>_xlfn.XLOOKUP(Table1[[#This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cm="1">
        <f t="array" ref="G271">IF(_xlfn.XLOOKUP(C271,customers!$A$1:$A$1001,customers!$C$1:$C$1001,_xleta.N/A,0)=0,"",_xlfn.XLOOKUP(C271,customers!$A$1:$A$1001,customers!$C$1:$C$1001,_xleta.N/A,0))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f t="shared" si="12"/>
        <v>5.97</v>
      </c>
      <c r="N271" t="str">
        <f t="shared" si="13"/>
        <v>Arabica</v>
      </c>
      <c r="O271" t="str">
        <f t="shared" si="14"/>
        <v>Dark</v>
      </c>
      <c r="P271" t="str">
        <f>_xlfn.XLOOKUP(Table1[[#This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cm="1">
        <f t="array" ref="G272">IF(_xlfn.XLOOKUP(C272,customers!$A$1:$A$1001,customers!$C$1:$C$1001,_xleta.N/A,0)=0,"",_xlfn.XLOOKUP(C272,customers!$A$1:$A$1001,customers!$C$1:$C$1001,_xleta.N/A,0))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f t="shared" si="12"/>
        <v>7.29</v>
      </c>
      <c r="N272" t="str">
        <f t="shared" si="13"/>
        <v>Excelsa</v>
      </c>
      <c r="O272" t="str">
        <f t="shared" si="14"/>
        <v>Dark</v>
      </c>
      <c r="P272" t="str">
        <f>_xlfn.XLOOKUP(Table1[[#This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cm="1">
        <f t="array" ref="G273">IF(_xlfn.XLOOKUP(C273,customers!$A$1:$A$1001,customers!$C$1:$C$1001,_xleta.N/A,0)=0,"",_xlfn.XLOOKUP(C273,customers!$A$1:$A$1001,customers!$C$1:$C$1001,_xleta.N/A,0))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f t="shared" si="12"/>
        <v>11.94</v>
      </c>
      <c r="N273" t="str">
        <f t="shared" si="13"/>
        <v>Arabica</v>
      </c>
      <c r="O273" t="str">
        <f t="shared" si="14"/>
        <v>Dark</v>
      </c>
      <c r="P273" t="str">
        <f>_xlfn.XLOOKUP(Table1[[#This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cm="1">
        <f t="array" ref="G274">IF(_xlfn.XLOOKUP(C274,customers!$A$1:$A$1001,customers!$C$1:$C$1001,_xleta.N/A,0)=0,"",_xlfn.XLOOKUP(C274,customers!$A$1:$A$1001,customers!$C$1:$C$1001,_xleta.N/A,0))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f t="shared" si="12"/>
        <v>71.699999999999989</v>
      </c>
      <c r="N274" t="str">
        <f t="shared" si="13"/>
        <v>Robusta</v>
      </c>
      <c r="O274" t="str">
        <f t="shared" si="14"/>
        <v>Large</v>
      </c>
      <c r="P274" t="str">
        <f>_xlfn.XLOOKUP(Table1[[#This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cm="1">
        <f t="array" ref="G275">IF(_xlfn.XLOOKUP(C275,customers!$A$1:$A$1001,customers!$C$1:$C$1001,_xleta.N/A,0)=0,"",_xlfn.XLOOKUP(C275,customers!$A$1:$A$1001,customers!$C$1:$C$1001,_xleta.N/A,0))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f t="shared" si="12"/>
        <v>7.77</v>
      </c>
      <c r="N275" t="str">
        <f t="shared" si="13"/>
        <v>Arabica</v>
      </c>
      <c r="O275" t="str">
        <f t="shared" si="14"/>
        <v>Large</v>
      </c>
      <c r="P275" t="str">
        <f>_xlfn.XLOOKUP(Table1[[#This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cm="1">
        <f t="array" ref="G276">IF(_xlfn.XLOOKUP(C276,customers!$A$1:$A$1001,customers!$C$1:$C$1001,_xleta.N/A,0)=0,"",_xlfn.XLOOKUP(C276,customers!$A$1:$A$1001,customers!$C$1:$C$1001,_xleta.N/A,0))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f t="shared" si="12"/>
        <v>25.874999999999996</v>
      </c>
      <c r="N276" t="str">
        <f t="shared" si="13"/>
        <v>Arabica</v>
      </c>
      <c r="O276" t="str">
        <f t="shared" si="14"/>
        <v>Medium</v>
      </c>
      <c r="P276" t="str">
        <f>_xlfn.XLOOKUP(Table1[[#This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cm="1">
        <f t="array" ref="G277">IF(_xlfn.XLOOKUP(C277,customers!$A$1:$A$1001,customers!$C$1:$C$1001,_xleta.N/A,0)=0,"",_xlfn.XLOOKUP(C277,customers!$A$1:$A$1001,customers!$C$1:$C$1001,_xleta.N/A,0))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f t="shared" si="12"/>
        <v>204.92999999999995</v>
      </c>
      <c r="N277" t="str">
        <f t="shared" si="13"/>
        <v>Excelsa</v>
      </c>
      <c r="O277" t="str">
        <f t="shared" si="14"/>
        <v>Large</v>
      </c>
      <c r="P277" t="str">
        <f>_xlfn.XLOOKUP(Table1[[#This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cm="1">
        <f t="array" ref="G278">IF(_xlfn.XLOOKUP(C278,customers!$A$1:$A$1001,customers!$C$1:$C$1001,_xleta.N/A,0)=0,"",_xlfn.XLOOKUP(C278,customers!$A$1:$A$1001,customers!$C$1:$C$1001,_xleta.N/A,0))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f t="shared" si="12"/>
        <v>109.93999999999998</v>
      </c>
      <c r="N278" t="str">
        <f t="shared" si="13"/>
        <v>Robusta</v>
      </c>
      <c r="O278" t="str">
        <f t="shared" si="14"/>
        <v>Large</v>
      </c>
      <c r="P278" t="str">
        <f>_xlfn.XLOOKUP(Table1[[#This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cm="1">
        <f t="array" ref="G279">IF(_xlfn.XLOOKUP(C279,customers!$A$1:$A$1001,customers!$C$1:$C$1001,_xleta.N/A,0)=0,"",_xlfn.XLOOKUP(C279,customers!$A$1:$A$1001,customers!$C$1:$C$1001,_xleta.N/A,0))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f t="shared" si="12"/>
        <v>89.1</v>
      </c>
      <c r="N279" t="str">
        <f t="shared" si="13"/>
        <v>Excelsa</v>
      </c>
      <c r="O279" t="str">
        <f t="shared" si="14"/>
        <v>Large</v>
      </c>
      <c r="P279" t="str">
        <f>_xlfn.XLOOKUP(Table1[[#This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cm="1">
        <f t="array" ref="G280">IF(_xlfn.XLOOKUP(C280,customers!$A$1:$A$1001,customers!$C$1:$C$1001,_xleta.N/A,0)=0,"",_xlfn.XLOOKUP(C280,customers!$A$1:$A$1001,customers!$C$1:$C$1001,_xleta.N/A,0))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f t="shared" si="12"/>
        <v>7.77</v>
      </c>
      <c r="N280" t="str">
        <f t="shared" si="13"/>
        <v>Arabica</v>
      </c>
      <c r="O280" t="str">
        <f t="shared" si="14"/>
        <v>Large</v>
      </c>
      <c r="P280" t="str">
        <f>_xlfn.XLOOKUP(Table1[[#This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cm="1">
        <f t="array" ref="G281">IF(_xlfn.XLOOKUP(C281,customers!$A$1:$A$1001,customers!$C$1:$C$1001,_xleta.N/A,0)=0,"",_xlfn.XLOOKUP(C281,customers!$A$1:$A$1001,customers!$C$1:$C$1001,_xleta.N/A,0))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f t="shared" si="12"/>
        <v>33.464999999999996</v>
      </c>
      <c r="N281" t="str">
        <f t="shared" si="13"/>
        <v>Liberica</v>
      </c>
      <c r="O281" t="str">
        <f t="shared" si="14"/>
        <v>Medium</v>
      </c>
      <c r="P281" t="str">
        <f>_xlfn.XLOOKUP(Table1[[#This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cm="1">
        <f t="array" ref="G282">IF(_xlfn.XLOOKUP(C282,customers!$A$1:$A$1001,customers!$C$1:$C$1001,_xleta.N/A,0)=0,"",_xlfn.XLOOKUP(C282,customers!$A$1:$A$1001,customers!$C$1:$C$1001,_xleta.N/A,0))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f t="shared" si="12"/>
        <v>41.25</v>
      </c>
      <c r="N282" t="str">
        <f t="shared" si="13"/>
        <v>Excelsa</v>
      </c>
      <c r="O282" t="str">
        <f t="shared" si="14"/>
        <v>Medium</v>
      </c>
      <c r="P282" t="str">
        <f>_xlfn.XLOOKUP(Table1[[#This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cm="1">
        <f t="array" ref="G283">IF(_xlfn.XLOOKUP(C283,customers!$A$1:$A$1001,customers!$C$1:$C$1001,_xleta.N/A,0)=0,"",_xlfn.XLOOKUP(C283,customers!$A$1:$A$1001,customers!$C$1:$C$1001,_xleta.N/A,0))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f t="shared" si="12"/>
        <v>59.4</v>
      </c>
      <c r="N283" t="str">
        <f t="shared" si="13"/>
        <v>Excelsa</v>
      </c>
      <c r="O283" t="str">
        <f t="shared" si="14"/>
        <v>Large</v>
      </c>
      <c r="P283" t="str">
        <f>_xlfn.XLOOKUP(Table1[[#This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cm="1">
        <f t="array" ref="G284">IF(_xlfn.XLOOKUP(C284,customers!$A$1:$A$1001,customers!$C$1:$C$1001,_xleta.N/A,0)=0,"",_xlfn.XLOOKUP(C284,customers!$A$1:$A$1001,customers!$C$1:$C$1001,_xleta.N/A,0))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f t="shared" si="12"/>
        <v>7.77</v>
      </c>
      <c r="N284" t="str">
        <f t="shared" si="13"/>
        <v>Arabica</v>
      </c>
      <c r="O284" t="str">
        <f t="shared" si="14"/>
        <v>Large</v>
      </c>
      <c r="P284" t="str">
        <f>_xlfn.XLOOKUP(Table1[[#This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cm="1">
        <f t="array" ref="G285">IF(_xlfn.XLOOKUP(C285,customers!$A$1:$A$1001,customers!$C$1:$C$1001,_xleta.N/A,0)=0,"",_xlfn.XLOOKUP(C285,customers!$A$1:$A$1001,customers!$C$1:$C$1001,_xleta.N/A,0))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f t="shared" si="12"/>
        <v>5.3699999999999992</v>
      </c>
      <c r="N285" t="str">
        <f t="shared" si="13"/>
        <v>Robusta</v>
      </c>
      <c r="O285" t="str">
        <f t="shared" si="14"/>
        <v>Dark</v>
      </c>
      <c r="P285" t="str">
        <f>_xlfn.XLOOKUP(Table1[[#This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cm="1">
        <f t="array" ref="G286">IF(_xlfn.XLOOKUP(C286,customers!$A$1:$A$1001,customers!$C$1:$C$1001,_xleta.N/A,0)=0,"",_xlfn.XLOOKUP(C286,customers!$A$1:$A$1001,customers!$C$1:$C$1001,_xleta.N/A,0))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f t="shared" si="12"/>
        <v>94.874999999999986</v>
      </c>
      <c r="N286" t="str">
        <f t="shared" si="13"/>
        <v>Excelsa</v>
      </c>
      <c r="O286" t="str">
        <f t="shared" si="14"/>
        <v>Medium</v>
      </c>
      <c r="P286" t="str">
        <f>_xlfn.XLOOKUP(Table1[[#This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cm="1">
        <f t="array" ref="G287">IF(_xlfn.XLOOKUP(C287,customers!$A$1:$A$1001,customers!$C$1:$C$1001,_xleta.N/A,0)=0,"",_xlfn.XLOOKUP(C287,customers!$A$1:$A$1001,customers!$C$1:$C$1001,_xleta.N/A,0))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f t="shared" si="12"/>
        <v>36.454999999999998</v>
      </c>
      <c r="N287" t="str">
        <f t="shared" si="13"/>
        <v>Liberica</v>
      </c>
      <c r="O287" t="str">
        <f t="shared" si="14"/>
        <v>Large</v>
      </c>
      <c r="P287" t="str">
        <f>_xlfn.XLOOKUP(Table1[[#This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cm="1">
        <f t="array" ref="G288">IF(_xlfn.XLOOKUP(C288,customers!$A$1:$A$1001,customers!$C$1:$C$1001,_xleta.N/A,0)=0,"",_xlfn.XLOOKUP(C288,customers!$A$1:$A$1001,customers!$C$1:$C$1001,_xleta.N/A,0))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f t="shared" si="12"/>
        <v>13.5</v>
      </c>
      <c r="N288" t="str">
        <f t="shared" si="13"/>
        <v>Arabica</v>
      </c>
      <c r="O288" t="str">
        <f t="shared" si="14"/>
        <v>Medium</v>
      </c>
      <c r="P288" t="str">
        <f>_xlfn.XLOOKUP(Table1[[#This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cm="1">
        <f t="array" ref="G289">IF(_xlfn.XLOOKUP(C289,customers!$A$1:$A$1001,customers!$C$1:$C$1001,_xleta.N/A,0)=0,"",_xlfn.XLOOKUP(C289,customers!$A$1:$A$1001,customers!$C$1:$C$1001,_xleta.N/A,0))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f t="shared" si="12"/>
        <v>14.339999999999998</v>
      </c>
      <c r="N289" t="str">
        <f t="shared" si="13"/>
        <v>Robusta</v>
      </c>
      <c r="O289" t="str">
        <f t="shared" si="14"/>
        <v>Large</v>
      </c>
      <c r="P289" t="str">
        <f>_xlfn.XLOOKUP(Table1[[#This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cm="1">
        <f t="array" ref="G290">IF(_xlfn.XLOOKUP(C290,customers!$A$1:$A$1001,customers!$C$1:$C$1001,_xleta.N/A,0)=0,"",_xlfn.XLOOKUP(C290,customers!$A$1:$A$1001,customers!$C$1:$C$1001,_xleta.N/A,0))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f t="shared" si="12"/>
        <v>8.25</v>
      </c>
      <c r="N290" t="str">
        <f t="shared" si="13"/>
        <v>Excelsa</v>
      </c>
      <c r="O290" t="str">
        <f t="shared" si="14"/>
        <v>Medium</v>
      </c>
      <c r="P290" t="str">
        <f>_xlfn.XLOOKUP(Table1[[#This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cm="1">
        <f t="array" ref="G291">IF(_xlfn.XLOOKUP(C291,customers!$A$1:$A$1001,customers!$C$1:$C$1001,_xleta.N/A,0)=0,"",_xlfn.XLOOKUP(C291,customers!$A$1:$A$1001,customers!$C$1:$C$1001,_xleta.N/A,0))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f t="shared" si="12"/>
        <v>13.424999999999997</v>
      </c>
      <c r="N291" t="str">
        <f t="shared" si="13"/>
        <v>Robusta</v>
      </c>
      <c r="O291" t="str">
        <f t="shared" si="14"/>
        <v>Dark</v>
      </c>
      <c r="P291" t="str">
        <f>_xlfn.XLOOKUP(Table1[[#This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cm="1">
        <f t="array" ref="G292">IF(_xlfn.XLOOKUP(C292,customers!$A$1:$A$1001,customers!$C$1:$C$1001,_xleta.N/A,0)=0,"",_xlfn.XLOOKUP(C292,customers!$A$1:$A$1001,customers!$C$1:$C$1001,_xleta.N/A,0))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f t="shared" si="12"/>
        <v>49.75</v>
      </c>
      <c r="N292" t="str">
        <f t="shared" si="13"/>
        <v>Arabica</v>
      </c>
      <c r="O292" t="str">
        <f t="shared" si="14"/>
        <v>Dark</v>
      </c>
      <c r="P292" t="str">
        <f>_xlfn.XLOOKUP(Table1[[#This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cm="1">
        <f t="array" ref="G293">IF(_xlfn.XLOOKUP(C293,customers!$A$1:$A$1001,customers!$C$1:$C$1001,_xleta.N/A,0)=0,"",_xlfn.XLOOKUP(C293,customers!$A$1:$A$1001,customers!$C$1:$C$1001,_xleta.N/A,0))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f t="shared" si="12"/>
        <v>16.5</v>
      </c>
      <c r="N293" t="str">
        <f t="shared" si="13"/>
        <v>Excelsa</v>
      </c>
      <c r="O293" t="str">
        <f t="shared" si="14"/>
        <v>Medium</v>
      </c>
      <c r="P293" t="str">
        <f>_xlfn.XLOOKUP(Table1[[#This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cm="1">
        <f t="array" ref="G294">IF(_xlfn.XLOOKUP(C294,customers!$A$1:$A$1001,customers!$C$1:$C$1001,_xleta.N/A,0)=0,"",_xlfn.XLOOKUP(C294,customers!$A$1:$A$1001,customers!$C$1:$C$1001,_xleta.N/A,0))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f t="shared" si="12"/>
        <v>17.91</v>
      </c>
      <c r="N294" t="str">
        <f t="shared" si="13"/>
        <v>Arabica</v>
      </c>
      <c r="O294" t="str">
        <f t="shared" si="14"/>
        <v>Dark</v>
      </c>
      <c r="P294" t="str">
        <f>_xlfn.XLOOKUP(Table1[[#This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cm="1">
        <f t="array" ref="G295">IF(_xlfn.XLOOKUP(C295,customers!$A$1:$A$1001,customers!$C$1:$C$1001,_xleta.N/A,0)=0,"",_xlfn.XLOOKUP(C295,customers!$A$1:$A$1001,customers!$C$1:$C$1001,_xleta.N/A,0))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f t="shared" si="12"/>
        <v>29.849999999999998</v>
      </c>
      <c r="N295" t="str">
        <f t="shared" si="13"/>
        <v>Arabica</v>
      </c>
      <c r="O295" t="str">
        <f t="shared" si="14"/>
        <v>Dark</v>
      </c>
      <c r="P295" t="str">
        <f>_xlfn.XLOOKUP(Table1[[#This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cm="1">
        <f t="array" ref="G296">IF(_xlfn.XLOOKUP(C296,customers!$A$1:$A$1001,customers!$C$1:$C$1001,_xleta.N/A,0)=0,"",_xlfn.XLOOKUP(C296,customers!$A$1:$A$1001,customers!$C$1:$C$1001,_xleta.N/A,0))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f t="shared" si="12"/>
        <v>44.55</v>
      </c>
      <c r="N296" t="str">
        <f t="shared" si="13"/>
        <v>Excelsa</v>
      </c>
      <c r="O296" t="str">
        <f t="shared" si="14"/>
        <v>Large</v>
      </c>
      <c r="P296" t="str">
        <f>_xlfn.XLOOKUP(Table1[[#This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cm="1">
        <f t="array" ref="G297">IF(_xlfn.XLOOKUP(C297,customers!$A$1:$A$1001,customers!$C$1:$C$1001,_xleta.N/A,0)=0,"",_xlfn.XLOOKUP(C297,customers!$A$1:$A$1001,customers!$C$1:$C$1001,_xleta.N/A,0))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f t="shared" si="12"/>
        <v>27.5</v>
      </c>
      <c r="N297" t="str">
        <f t="shared" si="13"/>
        <v>Excelsa</v>
      </c>
      <c r="O297" t="str">
        <f t="shared" si="14"/>
        <v>Medium</v>
      </c>
      <c r="P297" t="str">
        <f>_xlfn.XLOOKUP(Table1[[#This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cm="1">
        <f t="array" ref="G298">IF(_xlfn.XLOOKUP(C298,customers!$A$1:$A$1001,customers!$C$1:$C$1001,_xleta.N/A,0)=0,"",_xlfn.XLOOKUP(C298,customers!$A$1:$A$1001,customers!$C$1:$C$1001,_xleta.N/A,0))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f t="shared" si="12"/>
        <v>35.82</v>
      </c>
      <c r="N298" t="str">
        <f t="shared" si="13"/>
        <v>Robusta</v>
      </c>
      <c r="O298" t="str">
        <f t="shared" si="14"/>
        <v>Medium</v>
      </c>
      <c r="P298" t="str">
        <f>_xlfn.XLOOKUP(Table1[[#This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cm="1">
        <f t="array" ref="G299">IF(_xlfn.XLOOKUP(C299,customers!$A$1:$A$1001,customers!$C$1:$C$1001,_xleta.N/A,0)=0,"",_xlfn.XLOOKUP(C299,customers!$A$1:$A$1001,customers!$C$1:$C$1001,_xleta.N/A,0))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f t="shared" si="12"/>
        <v>16.11</v>
      </c>
      <c r="N299" t="str">
        <f t="shared" si="13"/>
        <v>Robusta</v>
      </c>
      <c r="O299" t="str">
        <f t="shared" si="14"/>
        <v>Dark</v>
      </c>
      <c r="P299" t="str">
        <f>_xlfn.XLOOKUP(Table1[[#This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cm="1">
        <f t="array" ref="G300">IF(_xlfn.XLOOKUP(C300,customers!$A$1:$A$1001,customers!$C$1:$C$1001,_xleta.N/A,0)=0,"",_xlfn.XLOOKUP(C300,customers!$A$1:$A$1001,customers!$C$1:$C$1001,_xleta.N/A,0))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f t="shared" si="12"/>
        <v>26.73</v>
      </c>
      <c r="N300" t="str">
        <f t="shared" si="13"/>
        <v>Excelsa</v>
      </c>
      <c r="O300" t="str">
        <f t="shared" si="14"/>
        <v>Large</v>
      </c>
      <c r="P300" t="str">
        <f>_xlfn.XLOOKUP(Table1[[#This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cm="1">
        <f t="array" ref="G301">IF(_xlfn.XLOOKUP(C301,customers!$A$1:$A$1001,customers!$C$1:$C$1001,_xleta.N/A,0)=0,"",_xlfn.XLOOKUP(C301,customers!$A$1:$A$1001,customers!$C$1:$C$1001,_xleta.N/A,0))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f t="shared" si="12"/>
        <v>204.92999999999995</v>
      </c>
      <c r="N301" t="str">
        <f t="shared" si="13"/>
        <v>Excelsa</v>
      </c>
      <c r="O301" t="str">
        <f t="shared" si="14"/>
        <v>Large</v>
      </c>
      <c r="P301" t="str">
        <f>_xlfn.XLOOKUP(Table1[[#This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cm="1">
        <f t="array" ref="G302">IF(_xlfn.XLOOKUP(C302,customers!$A$1:$A$1001,customers!$C$1:$C$1001,_xleta.N/A,0)=0,"",_xlfn.XLOOKUP(C302,customers!$A$1:$A$1001,customers!$C$1:$C$1001,_xleta.N/A,0))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f t="shared" si="12"/>
        <v>38.849999999999994</v>
      </c>
      <c r="N302" t="str">
        <f t="shared" si="13"/>
        <v>Arabica</v>
      </c>
      <c r="O302" t="str">
        <f t="shared" si="14"/>
        <v>Large</v>
      </c>
      <c r="P302" t="str">
        <f>_xlfn.XLOOKUP(Table1[[#This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cm="1">
        <f t="array" ref="G303">IF(_xlfn.XLOOKUP(C303,customers!$A$1:$A$1001,customers!$C$1:$C$1001,_xleta.N/A,0)=0,"",_xlfn.XLOOKUP(C303,customers!$A$1:$A$1001,customers!$C$1:$C$1001,_xleta.N/A,0))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f t="shared" si="12"/>
        <v>15.54</v>
      </c>
      <c r="N303" t="str">
        <f t="shared" si="13"/>
        <v>Liberica</v>
      </c>
      <c r="O303" t="str">
        <f t="shared" si="14"/>
        <v>Dark</v>
      </c>
      <c r="P303" t="str">
        <f>_xlfn.XLOOKUP(Table1[[#This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cm="1">
        <f t="array" ref="G304">IF(_xlfn.XLOOKUP(C304,customers!$A$1:$A$1001,customers!$C$1:$C$1001,_xleta.N/A,0)=0,"",_xlfn.XLOOKUP(C304,customers!$A$1:$A$1001,customers!$C$1:$C$1001,_xleta.N/A,0))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f t="shared" si="12"/>
        <v>6.75</v>
      </c>
      <c r="N304" t="str">
        <f t="shared" si="13"/>
        <v>Arabica</v>
      </c>
      <c r="O304" t="str">
        <f t="shared" si="14"/>
        <v>Medium</v>
      </c>
      <c r="P304" t="str">
        <f>_xlfn.XLOOKUP(Table1[[#This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cm="1">
        <f t="array" ref="G305">IF(_xlfn.XLOOKUP(C305,customers!$A$1:$A$1001,customers!$C$1:$C$1001,_xleta.N/A,0)=0,"",_xlfn.XLOOKUP(C305,customers!$A$1:$A$1001,customers!$C$1:$C$1001,_xleta.N/A,0))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f t="shared" si="12"/>
        <v>111.78</v>
      </c>
      <c r="N305" t="str">
        <f t="shared" si="13"/>
        <v>Excelsa</v>
      </c>
      <c r="O305" t="str">
        <f t="shared" si="14"/>
        <v>Dark</v>
      </c>
      <c r="P305" t="str">
        <f>_xlfn.XLOOKUP(Table1[[#This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cm="1">
        <f t="array" ref="G306">IF(_xlfn.XLOOKUP(C306,customers!$A$1:$A$1001,customers!$C$1:$C$1001,_xleta.N/A,0)=0,"",_xlfn.XLOOKUP(C306,customers!$A$1:$A$1001,customers!$C$1:$C$1001,_xleta.N/A,0))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f t="shared" si="12"/>
        <v>3.8849999999999998</v>
      </c>
      <c r="N306" t="str">
        <f t="shared" si="13"/>
        <v>Arabica</v>
      </c>
      <c r="O306" t="str">
        <f t="shared" si="14"/>
        <v>Large</v>
      </c>
      <c r="P306" t="str">
        <f>_xlfn.XLOOKUP(Table1[[#This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cm="1">
        <f t="array" ref="G307">IF(_xlfn.XLOOKUP(C307,customers!$A$1:$A$1001,customers!$C$1:$C$1001,_xleta.N/A,0)=0,"",_xlfn.XLOOKUP(C307,customers!$A$1:$A$1001,customers!$C$1:$C$1001,_xleta.N/A,0))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f t="shared" si="12"/>
        <v>21.825000000000003</v>
      </c>
      <c r="N307" t="str">
        <f t="shared" si="13"/>
        <v>Liberica</v>
      </c>
      <c r="O307" t="str">
        <f t="shared" si="14"/>
        <v>Medium</v>
      </c>
      <c r="P307" t="str">
        <f>_xlfn.XLOOKUP(Table1[[#This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cm="1">
        <f t="array" ref="G308">IF(_xlfn.XLOOKUP(C308,customers!$A$1:$A$1001,customers!$C$1:$C$1001,_xleta.N/A,0)=0,"",_xlfn.XLOOKUP(C308,customers!$A$1:$A$1001,customers!$C$1:$C$1001,_xleta.N/A,0))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f t="shared" si="12"/>
        <v>14.924999999999999</v>
      </c>
      <c r="N308" t="str">
        <f t="shared" si="13"/>
        <v>Robusta</v>
      </c>
      <c r="O308" t="str">
        <f t="shared" si="14"/>
        <v>Medium</v>
      </c>
      <c r="P308" t="str">
        <f>_xlfn.XLOOKUP(Table1[[#This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cm="1">
        <f t="array" ref="G309">IF(_xlfn.XLOOKUP(C309,customers!$A$1:$A$1001,customers!$C$1:$C$1001,_xleta.N/A,0)=0,"",_xlfn.XLOOKUP(C309,customers!$A$1:$A$1001,customers!$C$1:$C$1001,_xleta.N/A,0))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f t="shared" si="12"/>
        <v>33.75</v>
      </c>
      <c r="N309" t="str">
        <f t="shared" si="13"/>
        <v>Arabica</v>
      </c>
      <c r="O309" t="str">
        <f t="shared" si="14"/>
        <v>Medium</v>
      </c>
      <c r="P309" t="str">
        <f>_xlfn.XLOOKUP(Table1[[#This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cm="1">
        <f t="array" ref="G310">IF(_xlfn.XLOOKUP(C310,customers!$A$1:$A$1001,customers!$C$1:$C$1001,_xleta.N/A,0)=0,"",_xlfn.XLOOKUP(C310,customers!$A$1:$A$1001,customers!$C$1:$C$1001,_xleta.N/A,0))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f t="shared" si="12"/>
        <v>33.75</v>
      </c>
      <c r="N310" t="str">
        <f t="shared" si="13"/>
        <v>Arabica</v>
      </c>
      <c r="O310" t="str">
        <f t="shared" si="14"/>
        <v>Medium</v>
      </c>
      <c r="P310" t="str">
        <f>_xlfn.XLOOKUP(Table1[[#This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cm="1">
        <f t="array" ref="G311">IF(_xlfn.XLOOKUP(C311,customers!$A$1:$A$1001,customers!$C$1:$C$1001,_xleta.N/A,0)=0,"",_xlfn.XLOOKUP(C311,customers!$A$1:$A$1001,customers!$C$1:$C$1001,_xleta.N/A,0))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f t="shared" si="12"/>
        <v>26.19</v>
      </c>
      <c r="N311" t="str">
        <f t="shared" si="13"/>
        <v>Liberica</v>
      </c>
      <c r="O311" t="str">
        <f t="shared" si="14"/>
        <v>Medium</v>
      </c>
      <c r="P311" t="str">
        <f>_xlfn.XLOOKUP(Table1[[#This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cm="1">
        <f t="array" ref="G312">IF(_xlfn.XLOOKUP(C312,customers!$A$1:$A$1001,customers!$C$1:$C$1001,_xleta.N/A,0)=0,"",_xlfn.XLOOKUP(C312,customers!$A$1:$A$1001,customers!$C$1:$C$1001,_xleta.N/A,0))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f t="shared" si="12"/>
        <v>14.85</v>
      </c>
      <c r="N312" t="str">
        <f t="shared" si="13"/>
        <v>Excelsa</v>
      </c>
      <c r="O312" t="str">
        <f t="shared" si="14"/>
        <v>Large</v>
      </c>
      <c r="P312" t="str">
        <f>_xlfn.XLOOKUP(Table1[[#This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cm="1">
        <f t="array" ref="G313">IF(_xlfn.XLOOKUP(C313,customers!$A$1:$A$1001,customers!$C$1:$C$1001,_xleta.N/A,0)=0,"",_xlfn.XLOOKUP(C313,customers!$A$1:$A$1001,customers!$C$1:$C$1001,_xleta.N/A,0))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f t="shared" si="12"/>
        <v>189.74999999999997</v>
      </c>
      <c r="N313" t="str">
        <f t="shared" si="13"/>
        <v>Excelsa</v>
      </c>
      <c r="O313" t="str">
        <f t="shared" si="14"/>
        <v>Medium</v>
      </c>
      <c r="P313" t="str">
        <f>_xlfn.XLOOKUP(Table1[[#This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cm="1">
        <f t="array" ref="G314">IF(_xlfn.XLOOKUP(C314,customers!$A$1:$A$1001,customers!$C$1:$C$1001,_xleta.N/A,0)=0,"",_xlfn.XLOOKUP(C314,customers!$A$1:$A$1001,customers!$C$1:$C$1001,_xleta.N/A,0))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f t="shared" si="12"/>
        <v>5.97</v>
      </c>
      <c r="N314" t="str">
        <f t="shared" si="13"/>
        <v>Robusta</v>
      </c>
      <c r="O314" t="str">
        <f t="shared" si="14"/>
        <v>Medium</v>
      </c>
      <c r="P314" t="str">
        <f>_xlfn.XLOOKUP(Table1[[#This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cm="1">
        <f t="array" ref="G315">IF(_xlfn.XLOOKUP(C315,customers!$A$1:$A$1001,customers!$C$1:$C$1001,_xleta.N/A,0)=0,"",_xlfn.XLOOKUP(C315,customers!$A$1:$A$1001,customers!$C$1:$C$1001,_xleta.N/A,0))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f t="shared" si="12"/>
        <v>29.849999999999998</v>
      </c>
      <c r="N315" t="str">
        <f t="shared" si="13"/>
        <v>Robusta</v>
      </c>
      <c r="O315" t="str">
        <f t="shared" si="14"/>
        <v>Medium</v>
      </c>
      <c r="P315" t="str">
        <f>_xlfn.XLOOKUP(Table1[[#This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cm="1">
        <f t="array" ref="G316">IF(_xlfn.XLOOKUP(C316,customers!$A$1:$A$1001,customers!$C$1:$C$1001,_xleta.N/A,0)=0,"",_xlfn.XLOOKUP(C316,customers!$A$1:$A$1001,customers!$C$1:$C$1001,_xleta.N/A,0))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f t="shared" si="12"/>
        <v>44.75</v>
      </c>
      <c r="N316" t="str">
        <f t="shared" si="13"/>
        <v>Robusta</v>
      </c>
      <c r="O316" t="str">
        <f t="shared" si="14"/>
        <v>Dark</v>
      </c>
      <c r="P316" t="str">
        <f>_xlfn.XLOOKUP(Table1[[#This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cm="1">
        <f t="array" ref="G317">IF(_xlfn.XLOOKUP(C317,customers!$A$1:$A$1001,customers!$C$1:$C$1001,_xleta.N/A,0)=0,"",_xlfn.XLOOKUP(C317,customers!$A$1:$A$1001,customers!$C$1:$C$1001,_xleta.N/A,0))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f t="shared" si="12"/>
        <v>34.154999999999994</v>
      </c>
      <c r="N317" t="str">
        <f t="shared" si="13"/>
        <v>Excelsa</v>
      </c>
      <c r="O317" t="str">
        <f t="shared" si="14"/>
        <v>Large</v>
      </c>
      <c r="P317" t="str">
        <f>_xlfn.XLOOKUP(Table1[[#This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cm="1">
        <f t="array" ref="G318">IF(_xlfn.XLOOKUP(C318,customers!$A$1:$A$1001,customers!$C$1:$C$1001,_xleta.N/A,0)=0,"",_xlfn.XLOOKUP(C318,customers!$A$1:$A$1001,customers!$C$1:$C$1001,_xleta.N/A,0))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f t="shared" si="12"/>
        <v>204.92999999999995</v>
      </c>
      <c r="N318" t="str">
        <f t="shared" si="13"/>
        <v>Excelsa</v>
      </c>
      <c r="O318" t="str">
        <f t="shared" si="14"/>
        <v>Large</v>
      </c>
      <c r="P318" t="str">
        <f>_xlfn.XLOOKUP(Table1[[#This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cm="1">
        <f t="array" ref="G319">IF(_xlfn.XLOOKUP(C319,customers!$A$1:$A$1001,customers!$C$1:$C$1001,_xleta.N/A,0)=0,"",_xlfn.XLOOKUP(C319,customers!$A$1:$A$1001,customers!$C$1:$C$1001,_xleta.N/A,0))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f t="shared" si="12"/>
        <v>21.87</v>
      </c>
      <c r="N319" t="str">
        <f t="shared" si="13"/>
        <v>Excelsa</v>
      </c>
      <c r="O319" t="str">
        <f t="shared" si="14"/>
        <v>Dark</v>
      </c>
      <c r="P319" t="str">
        <f>_xlfn.XLOOKUP(Table1[[#This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cm="1">
        <f t="array" ref="G320">IF(_xlfn.XLOOKUP(C320,customers!$A$1:$A$1001,customers!$C$1:$C$1001,_xleta.N/A,0)=0,"",_xlfn.XLOOKUP(C320,customers!$A$1:$A$1001,customers!$C$1:$C$1001,_xleta.N/A,0))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f t="shared" si="12"/>
        <v>51.749999999999993</v>
      </c>
      <c r="N320" t="str">
        <f t="shared" si="13"/>
        <v>Arabica</v>
      </c>
      <c r="O320" t="str">
        <f t="shared" si="14"/>
        <v>Medium</v>
      </c>
      <c r="P320" t="str">
        <f>_xlfn.XLOOKUP(Table1[[#This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cm="1">
        <f t="array" ref="G321">IF(_xlfn.XLOOKUP(C321,customers!$A$1:$A$1001,customers!$C$1:$C$1001,_xleta.N/A,0)=0,"",_xlfn.XLOOKUP(C321,customers!$A$1:$A$1001,customers!$C$1:$C$1001,_xleta.N/A,0))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f t="shared" si="12"/>
        <v>8.25</v>
      </c>
      <c r="N321" t="str">
        <f t="shared" si="13"/>
        <v>Excelsa</v>
      </c>
      <c r="O321" t="str">
        <f t="shared" si="14"/>
        <v>Medium</v>
      </c>
      <c r="P321" t="str">
        <f>_xlfn.XLOOKUP(Table1[[#This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cm="1">
        <f t="array" ref="G322">IF(_xlfn.XLOOKUP(C322,customers!$A$1:$A$1001,customers!$C$1:$C$1001,_xleta.N/A,0)=0,"",_xlfn.XLOOKUP(C322,customers!$A$1:$A$1001,customers!$C$1:$C$1001,_xleta.N/A,0))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f t="shared" si="12"/>
        <v>19.424999999999997</v>
      </c>
      <c r="N322" t="str">
        <f t="shared" si="13"/>
        <v>Arabica</v>
      </c>
      <c r="O322" t="str">
        <f t="shared" si="14"/>
        <v>Large</v>
      </c>
      <c r="P322" t="str">
        <f>_xlfn.XLOOKUP(Table1[[#This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cm="1">
        <f t="array" ref="G323">IF(_xlfn.XLOOKUP(C323,customers!$A$1:$A$1001,customers!$C$1:$C$1001,_xleta.N/A,0)=0,"",_xlfn.XLOOKUP(C323,customers!$A$1:$A$1001,customers!$C$1:$C$1001,_xleta.N/A,0))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f t="shared" ref="M323:M386" si="15">L323*E323</f>
        <v>20.25</v>
      </c>
      <c r="N323" t="str">
        <f t="shared" ref="N323:N386" si="16">IF(I323="ROB","Robusta",IF(I323="EXC","Excelsa",IF(I323="Ara","Arabica",IF(I323="lib","Liberica",""))))</f>
        <v>Arabica</v>
      </c>
      <c r="O323" t="str">
        <f t="shared" ref="O323:O386" si="17">IF(J323="M","Medium",IF(J323="L","Large",IF(J323="D","Dark","")))</f>
        <v>Medium</v>
      </c>
      <c r="P323" t="str">
        <f>_xlfn.XLOOKUP(Table1[[#This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cm="1">
        <f t="array" ref="G324">IF(_xlfn.XLOOKUP(C324,customers!$A$1:$A$1001,customers!$C$1:$C$1001,_xleta.N/A,0)=0,"",_xlfn.XLOOKUP(C324,customers!$A$1:$A$1001,customers!$C$1:$C$1001,_xleta.N/A,0))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f t="shared" si="15"/>
        <v>23.31</v>
      </c>
      <c r="N324" t="str">
        <f t="shared" si="16"/>
        <v>Liberica</v>
      </c>
      <c r="O324" t="str">
        <f t="shared" si="17"/>
        <v>Dark</v>
      </c>
      <c r="P324" t="str">
        <f>_xlfn.XLOOKUP(Table1[[#This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cm="1">
        <f t="array" ref="G325">IF(_xlfn.XLOOKUP(C325,customers!$A$1:$A$1001,customers!$C$1:$C$1001,_xleta.N/A,0)=0,"",_xlfn.XLOOKUP(C325,customers!$A$1:$A$1001,customers!$C$1:$C$1001,_xleta.N/A,0))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f t="shared" si="15"/>
        <v>18.225000000000001</v>
      </c>
      <c r="N325" t="str">
        <f t="shared" si="16"/>
        <v>Excelsa</v>
      </c>
      <c r="O325" t="str">
        <f t="shared" si="17"/>
        <v>Dark</v>
      </c>
      <c r="P325" t="str">
        <f>_xlfn.XLOOKUP(Table1[[#This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cm="1">
        <f t="array" ref="G326">IF(_xlfn.XLOOKUP(C326,customers!$A$1:$A$1001,customers!$C$1:$C$1001,_xleta.N/A,0)=0,"",_xlfn.XLOOKUP(C326,customers!$A$1:$A$1001,customers!$C$1:$C$1001,_xleta.N/A,0))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f t="shared" si="15"/>
        <v>13.75</v>
      </c>
      <c r="N326" t="str">
        <f t="shared" si="16"/>
        <v>Excelsa</v>
      </c>
      <c r="O326" t="str">
        <f t="shared" si="17"/>
        <v>Medium</v>
      </c>
      <c r="P326" t="str">
        <f>_xlfn.XLOOKUP(Table1[[#This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cm="1">
        <f t="array" ref="G327">IF(_xlfn.XLOOKUP(C327,customers!$A$1:$A$1001,customers!$C$1:$C$1001,_xleta.N/A,0)=0,"",_xlfn.XLOOKUP(C327,customers!$A$1:$A$1001,customers!$C$1:$C$1001,_xleta.N/A,0))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f t="shared" si="15"/>
        <v>29.784999999999997</v>
      </c>
      <c r="N327" t="str">
        <f t="shared" si="16"/>
        <v>Arabica</v>
      </c>
      <c r="O327" t="str">
        <f t="shared" si="17"/>
        <v>Large</v>
      </c>
      <c r="P327" t="str">
        <f>_xlfn.XLOOKUP(Table1[[#This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cm="1">
        <f t="array" ref="G328">IF(_xlfn.XLOOKUP(C328,customers!$A$1:$A$1001,customers!$C$1:$C$1001,_xleta.N/A,0)=0,"",_xlfn.XLOOKUP(C328,customers!$A$1:$A$1001,customers!$C$1:$C$1001,_xleta.N/A,0))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f t="shared" si="15"/>
        <v>44.75</v>
      </c>
      <c r="N328" t="str">
        <f t="shared" si="16"/>
        <v>Robusta</v>
      </c>
      <c r="O328" t="str">
        <f t="shared" si="17"/>
        <v>Dark</v>
      </c>
      <c r="P328" t="str">
        <f>_xlfn.XLOOKUP(Table1[[#This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cm="1">
        <f t="array" ref="G329">IF(_xlfn.XLOOKUP(C329,customers!$A$1:$A$1001,customers!$C$1:$C$1001,_xleta.N/A,0)=0,"",_xlfn.XLOOKUP(C329,customers!$A$1:$A$1001,customers!$C$1:$C$1001,_xleta.N/A,0))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f t="shared" si="15"/>
        <v>44.75</v>
      </c>
      <c r="N329" t="str">
        <f t="shared" si="16"/>
        <v>Robusta</v>
      </c>
      <c r="O329" t="str">
        <f t="shared" si="17"/>
        <v>Dark</v>
      </c>
      <c r="P329" t="str">
        <f>_xlfn.XLOOKUP(Table1[[#This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cm="1">
        <f t="array" ref="G330">IF(_xlfn.XLOOKUP(C330,customers!$A$1:$A$1001,customers!$C$1:$C$1001,_xleta.N/A,0)=0,"",_xlfn.XLOOKUP(C330,customers!$A$1:$A$1001,customers!$C$1:$C$1001,_xleta.N/A,0))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f t="shared" si="15"/>
        <v>38.04</v>
      </c>
      <c r="N330" t="str">
        <f t="shared" si="16"/>
        <v>Liberica</v>
      </c>
      <c r="O330" t="str">
        <f t="shared" si="17"/>
        <v>Large</v>
      </c>
      <c r="P330" t="str">
        <f>_xlfn.XLOOKUP(Table1[[#This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cm="1">
        <f t="array" ref="G331">IF(_xlfn.XLOOKUP(C331,customers!$A$1:$A$1001,customers!$C$1:$C$1001,_xleta.N/A,0)=0,"",_xlfn.XLOOKUP(C331,customers!$A$1:$A$1001,customers!$C$1:$C$1001,_xleta.N/A,0))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f t="shared" si="15"/>
        <v>21.479999999999997</v>
      </c>
      <c r="N331" t="str">
        <f t="shared" si="16"/>
        <v>Robusta</v>
      </c>
      <c r="O331" t="str">
        <f t="shared" si="17"/>
        <v>Dark</v>
      </c>
      <c r="P331" t="str">
        <f>_xlfn.XLOOKUP(Table1[[#This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cm="1">
        <f t="array" ref="G332">IF(_xlfn.XLOOKUP(C332,customers!$A$1:$A$1001,customers!$C$1:$C$1001,_xleta.N/A,0)=0,"",_xlfn.XLOOKUP(C332,customers!$A$1:$A$1001,customers!$C$1:$C$1001,_xleta.N/A,0))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f t="shared" si="15"/>
        <v>16.11</v>
      </c>
      <c r="N332" t="str">
        <f t="shared" si="16"/>
        <v>Robusta</v>
      </c>
      <c r="O332" t="str">
        <f t="shared" si="17"/>
        <v>Dark</v>
      </c>
      <c r="P332" t="str">
        <f>_xlfn.XLOOKUP(Table1[[#This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cm="1">
        <f t="array" ref="G333">IF(_xlfn.XLOOKUP(C333,customers!$A$1:$A$1001,customers!$C$1:$C$1001,_xleta.N/A,0)=0,"",_xlfn.XLOOKUP(C333,customers!$A$1:$A$1001,customers!$C$1:$C$1001,_xleta.N/A,0))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f t="shared" si="15"/>
        <v>22.884999999999998</v>
      </c>
      <c r="N333" t="str">
        <f t="shared" si="16"/>
        <v>Robusta</v>
      </c>
      <c r="O333" t="str">
        <f t="shared" si="17"/>
        <v>Medium</v>
      </c>
      <c r="P333" t="str">
        <f>_xlfn.XLOOKUP(Table1[[#This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cm="1">
        <f t="array" ref="G334">IF(_xlfn.XLOOKUP(C334,customers!$A$1:$A$1001,customers!$C$1:$C$1001,_xleta.N/A,0)=0,"",_xlfn.XLOOKUP(C334,customers!$A$1:$A$1001,customers!$C$1:$C$1001,_xleta.N/A,0))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f t="shared" si="15"/>
        <v>17.91</v>
      </c>
      <c r="N334" t="str">
        <f t="shared" si="16"/>
        <v>Arabica</v>
      </c>
      <c r="O334" t="str">
        <f t="shared" si="17"/>
        <v>Dark</v>
      </c>
      <c r="P334" t="str">
        <f>_xlfn.XLOOKUP(Table1[[#This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cm="1">
        <f t="array" ref="G335">IF(_xlfn.XLOOKUP(C335,customers!$A$1:$A$1001,customers!$C$1:$C$1001,_xleta.N/A,0)=0,"",_xlfn.XLOOKUP(C335,customers!$A$1:$A$1001,customers!$C$1:$C$1001,_xleta.N/A,0))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f t="shared" si="15"/>
        <v>23.88</v>
      </c>
      <c r="N335" t="str">
        <f t="shared" si="16"/>
        <v>Robusta</v>
      </c>
      <c r="O335" t="str">
        <f t="shared" si="17"/>
        <v>Medium</v>
      </c>
      <c r="P335" t="str">
        <f>_xlfn.XLOOKUP(Table1[[#This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cm="1">
        <f t="array" ref="G336">IF(_xlfn.XLOOKUP(C336,customers!$A$1:$A$1001,customers!$C$1:$C$1001,_xleta.N/A,0)=0,"",_xlfn.XLOOKUP(C336,customers!$A$1:$A$1001,customers!$C$1:$C$1001,_xleta.N/A,0))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f t="shared" si="15"/>
        <v>59.75</v>
      </c>
      <c r="N336" t="str">
        <f t="shared" si="16"/>
        <v>Robusta</v>
      </c>
      <c r="O336" t="str">
        <f t="shared" si="17"/>
        <v>Large</v>
      </c>
      <c r="P336" t="str">
        <f>_xlfn.XLOOKUP(Table1[[#This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cm="1">
        <f t="array" ref="G337">IF(_xlfn.XLOOKUP(C337,customers!$A$1:$A$1001,customers!$C$1:$C$1001,_xleta.N/A,0)=0,"",_xlfn.XLOOKUP(C337,customers!$A$1:$A$1001,customers!$C$1:$C$1001,_xleta.N/A,0))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f t="shared" si="15"/>
        <v>28.53</v>
      </c>
      <c r="N337" t="str">
        <f t="shared" si="16"/>
        <v>Liberica</v>
      </c>
      <c r="O337" t="str">
        <f t="shared" si="17"/>
        <v>Large</v>
      </c>
      <c r="P337" t="str">
        <f>_xlfn.XLOOKUP(Table1[[#This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cm="1">
        <f t="array" ref="G338">IF(_xlfn.XLOOKUP(C338,customers!$A$1:$A$1001,customers!$C$1:$C$1001,_xleta.N/A,0)=0,"",_xlfn.XLOOKUP(C338,customers!$A$1:$A$1001,customers!$C$1:$C$1001,_xleta.N/A,0))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f t="shared" si="15"/>
        <v>45</v>
      </c>
      <c r="N338" t="str">
        <f t="shared" si="16"/>
        <v>Arabica</v>
      </c>
      <c r="O338" t="str">
        <f t="shared" si="17"/>
        <v>Medium</v>
      </c>
      <c r="P338" t="str">
        <f>_xlfn.XLOOKUP(Table1[[#This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cm="1">
        <f t="array" ref="G339">IF(_xlfn.XLOOKUP(C339,customers!$A$1:$A$1001,customers!$C$1:$C$1001,_xleta.N/A,0)=0,"",_xlfn.XLOOKUP(C339,customers!$A$1:$A$1001,customers!$C$1:$C$1001,_xleta.N/A,0))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f t="shared" si="15"/>
        <v>55.89</v>
      </c>
      <c r="N339" t="str">
        <f t="shared" si="16"/>
        <v>Excelsa</v>
      </c>
      <c r="O339" t="str">
        <f t="shared" si="17"/>
        <v>Dark</v>
      </c>
      <c r="P339" t="str">
        <f>_xlfn.XLOOKUP(Table1[[#This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cm="1">
        <f t="array" ref="G340">IF(_xlfn.XLOOKUP(C340,customers!$A$1:$A$1001,customers!$C$1:$C$1001,_xleta.N/A,0)=0,"",_xlfn.XLOOKUP(C340,customers!$A$1:$A$1001,customers!$C$1:$C$1001,_xleta.N/A,0))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f t="shared" si="15"/>
        <v>59.4</v>
      </c>
      <c r="N340" t="str">
        <f t="shared" si="16"/>
        <v>Excelsa</v>
      </c>
      <c r="O340" t="str">
        <f t="shared" si="17"/>
        <v>Large</v>
      </c>
      <c r="P340" t="str">
        <f>_xlfn.XLOOKUP(Table1[[#This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cm="1">
        <f t="array" ref="G341">IF(_xlfn.XLOOKUP(C341,customers!$A$1:$A$1001,customers!$C$1:$C$1001,_xleta.N/A,0)=0,"",_xlfn.XLOOKUP(C341,customers!$A$1:$A$1001,customers!$C$1:$C$1001,_xleta.N/A,0))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f t="shared" si="15"/>
        <v>7.29</v>
      </c>
      <c r="N341" t="str">
        <f t="shared" si="16"/>
        <v>Excelsa</v>
      </c>
      <c r="O341" t="str">
        <f t="shared" si="17"/>
        <v>Dark</v>
      </c>
      <c r="P341" t="str">
        <f>_xlfn.XLOOKUP(Table1[[#This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cm="1">
        <f t="array" ref="G342">IF(_xlfn.XLOOKUP(C342,customers!$A$1:$A$1001,customers!$C$1:$C$1001,_xleta.N/A,0)=0,"",_xlfn.XLOOKUP(C342,customers!$A$1:$A$1001,customers!$C$1:$C$1001,_xleta.N/A,0))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f t="shared" si="15"/>
        <v>7.29</v>
      </c>
      <c r="N342" t="str">
        <f t="shared" si="16"/>
        <v>Excelsa</v>
      </c>
      <c r="O342" t="str">
        <f t="shared" si="17"/>
        <v>Dark</v>
      </c>
      <c r="P342" t="str">
        <f>_xlfn.XLOOKUP(Table1[[#This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cm="1">
        <f t="array" ref="G343">IF(_xlfn.XLOOKUP(C343,customers!$A$1:$A$1001,customers!$C$1:$C$1001,_xleta.N/A,0)=0,"",_xlfn.XLOOKUP(C343,customers!$A$1:$A$1001,customers!$C$1:$C$1001,_xleta.N/A,0))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f t="shared" si="15"/>
        <v>17.82</v>
      </c>
      <c r="N343" t="str">
        <f t="shared" si="16"/>
        <v>Excelsa</v>
      </c>
      <c r="O343" t="str">
        <f t="shared" si="17"/>
        <v>Large</v>
      </c>
      <c r="P343" t="str">
        <f>_xlfn.XLOOKUP(Table1[[#This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cm="1">
        <f t="array" ref="G344">IF(_xlfn.XLOOKUP(C344,customers!$A$1:$A$1001,customers!$C$1:$C$1001,_xleta.N/A,0)=0,"",_xlfn.XLOOKUP(C344,customers!$A$1:$A$1001,customers!$C$1:$C$1001,_xleta.N/A,0))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f t="shared" si="15"/>
        <v>38.849999999999994</v>
      </c>
      <c r="N344" t="str">
        <f t="shared" si="16"/>
        <v>Liberica</v>
      </c>
      <c r="O344" t="str">
        <f t="shared" si="17"/>
        <v>Dark</v>
      </c>
      <c r="P344" t="str">
        <f>_xlfn.XLOOKUP(Table1[[#This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cm="1">
        <f t="array" ref="G345">IF(_xlfn.XLOOKUP(C345,customers!$A$1:$A$1001,customers!$C$1:$C$1001,_xleta.N/A,0)=0,"",_xlfn.XLOOKUP(C345,customers!$A$1:$A$1001,customers!$C$1:$C$1001,_xleta.N/A,0))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f t="shared" si="15"/>
        <v>32.22</v>
      </c>
      <c r="N345" t="str">
        <f t="shared" si="16"/>
        <v>Robusta</v>
      </c>
      <c r="O345" t="str">
        <f t="shared" si="17"/>
        <v>Dark</v>
      </c>
      <c r="P345" t="str">
        <f>_xlfn.XLOOKUP(Table1[[#This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cm="1">
        <f t="array" ref="G346">IF(_xlfn.XLOOKUP(C346,customers!$A$1:$A$1001,customers!$C$1:$C$1001,_xleta.N/A,0)=0,"",_xlfn.XLOOKUP(C346,customers!$A$1:$A$1001,customers!$C$1:$C$1001,_xleta.N/A,0))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f t="shared" si="15"/>
        <v>19.899999999999999</v>
      </c>
      <c r="N346" t="str">
        <f t="shared" si="16"/>
        <v>Robusta</v>
      </c>
      <c r="O346" t="str">
        <f t="shared" si="17"/>
        <v>Medium</v>
      </c>
      <c r="P346" t="str">
        <f>_xlfn.XLOOKUP(Table1[[#This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cm="1">
        <f t="array" ref="G347">IF(_xlfn.XLOOKUP(C347,customers!$A$1:$A$1001,customers!$C$1:$C$1001,_xleta.N/A,0)=0,"",_xlfn.XLOOKUP(C347,customers!$A$1:$A$1001,customers!$C$1:$C$1001,_xleta.N/A,0))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f t="shared" si="15"/>
        <v>59.75</v>
      </c>
      <c r="N347" t="str">
        <f t="shared" si="16"/>
        <v>Robusta</v>
      </c>
      <c r="O347" t="str">
        <f t="shared" si="17"/>
        <v>Large</v>
      </c>
      <c r="P347" t="str">
        <f>_xlfn.XLOOKUP(Table1[[#This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cm="1">
        <f t="array" ref="G348">IF(_xlfn.XLOOKUP(C348,customers!$A$1:$A$1001,customers!$C$1:$C$1001,_xleta.N/A,0)=0,"",_xlfn.XLOOKUP(C348,customers!$A$1:$A$1001,customers!$C$1:$C$1001,_xleta.N/A,0))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f t="shared" si="15"/>
        <v>23.31</v>
      </c>
      <c r="N348" t="str">
        <f t="shared" si="16"/>
        <v>Arabica</v>
      </c>
      <c r="O348" t="str">
        <f t="shared" si="17"/>
        <v>Large</v>
      </c>
      <c r="P348" t="str">
        <f>_xlfn.XLOOKUP(Table1[[#This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cm="1">
        <f t="array" ref="G349">IF(_xlfn.XLOOKUP(C349,customers!$A$1:$A$1001,customers!$C$1:$C$1001,_xleta.N/A,0)=0,"",_xlfn.XLOOKUP(C349,customers!$A$1:$A$1001,customers!$C$1:$C$1001,_xleta.N/A,0))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f t="shared" si="15"/>
        <v>43.650000000000006</v>
      </c>
      <c r="N349" t="str">
        <f t="shared" si="16"/>
        <v>Liberica</v>
      </c>
      <c r="O349" t="str">
        <f t="shared" si="17"/>
        <v>Medium</v>
      </c>
      <c r="P349" t="str">
        <f>_xlfn.XLOOKUP(Table1[[#This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cm="1">
        <f t="array" ref="G350">IF(_xlfn.XLOOKUP(C350,customers!$A$1:$A$1001,customers!$C$1:$C$1001,_xleta.N/A,0)=0,"",_xlfn.XLOOKUP(C350,customers!$A$1:$A$1001,customers!$C$1:$C$1001,_xleta.N/A,0))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f t="shared" si="15"/>
        <v>204.92999999999995</v>
      </c>
      <c r="N350" t="str">
        <f t="shared" si="16"/>
        <v>Excelsa</v>
      </c>
      <c r="O350" t="str">
        <f t="shared" si="17"/>
        <v>Large</v>
      </c>
      <c r="P350" t="str">
        <f>_xlfn.XLOOKUP(Table1[[#This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cm="1">
        <f t="array" ref="G351">IF(_xlfn.XLOOKUP(C351,customers!$A$1:$A$1001,customers!$C$1:$C$1001,_xleta.N/A,0)=0,"",_xlfn.XLOOKUP(C351,customers!$A$1:$A$1001,customers!$C$1:$C$1001,_xleta.N/A,0))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f t="shared" si="15"/>
        <v>14.339999999999998</v>
      </c>
      <c r="N351" t="str">
        <f t="shared" si="16"/>
        <v>Robusta</v>
      </c>
      <c r="O351" t="str">
        <f t="shared" si="17"/>
        <v>Large</v>
      </c>
      <c r="P351" t="str">
        <f>_xlfn.XLOOKUP(Table1[[#This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cm="1">
        <f t="array" ref="G352">IF(_xlfn.XLOOKUP(C352,customers!$A$1:$A$1001,customers!$C$1:$C$1001,_xleta.N/A,0)=0,"",_xlfn.XLOOKUP(C352,customers!$A$1:$A$1001,customers!$C$1:$C$1001,_xleta.N/A,0))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f t="shared" si="15"/>
        <v>23.88</v>
      </c>
      <c r="N352" t="str">
        <f t="shared" si="16"/>
        <v>Arabica</v>
      </c>
      <c r="O352" t="str">
        <f t="shared" si="17"/>
        <v>Dark</v>
      </c>
      <c r="P352" t="str">
        <f>_xlfn.XLOOKUP(Table1[[#This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cm="1">
        <f t="array" ref="G353">IF(_xlfn.XLOOKUP(C353,customers!$A$1:$A$1001,customers!$C$1:$C$1001,_xleta.N/A,0)=0,"",_xlfn.XLOOKUP(C353,customers!$A$1:$A$1001,customers!$C$1:$C$1001,_xleta.N/A,0))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f t="shared" si="15"/>
        <v>22.5</v>
      </c>
      <c r="N353" t="str">
        <f t="shared" si="16"/>
        <v>Arabica</v>
      </c>
      <c r="O353" t="str">
        <f t="shared" si="17"/>
        <v>Medium</v>
      </c>
      <c r="P353" t="str">
        <f>_xlfn.XLOOKUP(Table1[[#This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cm="1">
        <f t="array" ref="G354">IF(_xlfn.XLOOKUP(C354,customers!$A$1:$A$1001,customers!$C$1:$C$1001,_xleta.N/A,0)=0,"",_xlfn.XLOOKUP(C354,customers!$A$1:$A$1001,customers!$C$1:$C$1001,_xleta.N/A,0))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f t="shared" si="15"/>
        <v>36.450000000000003</v>
      </c>
      <c r="N354" t="str">
        <f t="shared" si="16"/>
        <v>Excelsa</v>
      </c>
      <c r="O354" t="str">
        <f t="shared" si="17"/>
        <v>Dark</v>
      </c>
      <c r="P354" t="str">
        <f>_xlfn.XLOOKUP(Table1[[#This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cm="1">
        <f t="array" ref="G355">IF(_xlfn.XLOOKUP(C355,customers!$A$1:$A$1001,customers!$C$1:$C$1001,_xleta.N/A,0)=0,"",_xlfn.XLOOKUP(C355,customers!$A$1:$A$1001,customers!$C$1:$C$1001,_xleta.N/A,0))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f t="shared" si="15"/>
        <v>27</v>
      </c>
      <c r="N355" t="str">
        <f t="shared" si="16"/>
        <v>Arabica</v>
      </c>
      <c r="O355" t="str">
        <f t="shared" si="17"/>
        <v>Medium</v>
      </c>
      <c r="P355" t="str">
        <f>_xlfn.XLOOKUP(Table1[[#This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cm="1">
        <f t="array" ref="G356">IF(_xlfn.XLOOKUP(C356,customers!$A$1:$A$1001,customers!$C$1:$C$1001,_xleta.N/A,0)=0,"",_xlfn.XLOOKUP(C356,customers!$A$1:$A$1001,customers!$C$1:$C$1001,_xleta.N/A,0))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f t="shared" si="15"/>
        <v>155.24999999999997</v>
      </c>
      <c r="N356" t="str">
        <f t="shared" si="16"/>
        <v>Arabica</v>
      </c>
      <c r="O356" t="str">
        <f t="shared" si="17"/>
        <v>Medium</v>
      </c>
      <c r="P356" t="str">
        <f>_xlfn.XLOOKUP(Table1[[#This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cm="1">
        <f t="array" ref="G357">IF(_xlfn.XLOOKUP(C357,customers!$A$1:$A$1001,customers!$C$1:$C$1001,_xleta.N/A,0)=0,"",_xlfn.XLOOKUP(C357,customers!$A$1:$A$1001,customers!$C$1:$C$1001,_xleta.N/A,0))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f t="shared" si="15"/>
        <v>114.42499999999998</v>
      </c>
      <c r="N357" t="str">
        <f t="shared" si="16"/>
        <v>Arabica</v>
      </c>
      <c r="O357" t="str">
        <f t="shared" si="17"/>
        <v>Dark</v>
      </c>
      <c r="P357" t="str">
        <f>_xlfn.XLOOKUP(Table1[[#This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cm="1">
        <f t="array" ref="G358">IF(_xlfn.XLOOKUP(C358,customers!$A$1:$A$1001,customers!$C$1:$C$1001,_xleta.N/A,0)=0,"",_xlfn.XLOOKUP(C358,customers!$A$1:$A$1001,customers!$C$1:$C$1001,_xleta.N/A,0))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f t="shared" si="15"/>
        <v>51.8</v>
      </c>
      <c r="N358" t="str">
        <f t="shared" si="16"/>
        <v>Liberica</v>
      </c>
      <c r="O358" t="str">
        <f t="shared" si="17"/>
        <v>Dark</v>
      </c>
      <c r="P358" t="str">
        <f>_xlfn.XLOOKUP(Table1[[#This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cm="1">
        <f t="array" ref="G359">IF(_xlfn.XLOOKUP(C359,customers!$A$1:$A$1001,customers!$C$1:$C$1001,_xleta.N/A,0)=0,"",_xlfn.XLOOKUP(C359,customers!$A$1:$A$1001,customers!$C$1:$C$1001,_xleta.N/A,0))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f t="shared" si="15"/>
        <v>155.24999999999997</v>
      </c>
      <c r="N359" t="str">
        <f t="shared" si="16"/>
        <v>Arabica</v>
      </c>
      <c r="O359" t="str">
        <f t="shared" si="17"/>
        <v>Medium</v>
      </c>
      <c r="P359" t="str">
        <f>_xlfn.XLOOKUP(Table1[[#This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cm="1">
        <f t="array" ref="G360">IF(_xlfn.XLOOKUP(C360,customers!$A$1:$A$1001,customers!$C$1:$C$1001,_xleta.N/A,0)=0,"",_xlfn.XLOOKUP(C360,customers!$A$1:$A$1001,customers!$C$1:$C$1001,_xleta.N/A,0))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f t="shared" si="15"/>
        <v>29.784999999999997</v>
      </c>
      <c r="N360" t="str">
        <f t="shared" si="16"/>
        <v>Arabica</v>
      </c>
      <c r="O360" t="str">
        <f t="shared" si="17"/>
        <v>Large</v>
      </c>
      <c r="P360" t="str">
        <f>_xlfn.XLOOKUP(Table1[[#This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cm="1">
        <f t="array" ref="G361">IF(_xlfn.XLOOKUP(C361,customers!$A$1:$A$1001,customers!$C$1:$C$1001,_xleta.N/A,0)=0,"",_xlfn.XLOOKUP(C361,customers!$A$1:$A$1001,customers!$C$1:$C$1001,_xleta.N/A,0))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f t="shared" si="15"/>
        <v>21.509999999999998</v>
      </c>
      <c r="N361" t="str">
        <f t="shared" si="16"/>
        <v>Robusta</v>
      </c>
      <c r="O361" t="str">
        <f t="shared" si="17"/>
        <v>Large</v>
      </c>
      <c r="P361" t="str">
        <f>_xlfn.XLOOKUP(Table1[[#This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cm="1">
        <f t="array" ref="G362">IF(_xlfn.XLOOKUP(C362,customers!$A$1:$A$1001,customers!$C$1:$C$1001,_xleta.N/A,0)=0,"",_xlfn.XLOOKUP(C362,customers!$A$1:$A$1001,customers!$C$1:$C$1001,_xleta.N/A,0))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f t="shared" si="15"/>
        <v>41.169999999999995</v>
      </c>
      <c r="N362" t="str">
        <f t="shared" si="16"/>
        <v>Robusta</v>
      </c>
      <c r="O362" t="str">
        <f t="shared" si="17"/>
        <v>Dark</v>
      </c>
      <c r="P362" t="str">
        <f>_xlfn.XLOOKUP(Table1[[#This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cm="1">
        <f t="array" ref="G363">IF(_xlfn.XLOOKUP(C363,customers!$A$1:$A$1001,customers!$C$1:$C$1001,_xleta.N/A,0)=0,"",_xlfn.XLOOKUP(C363,customers!$A$1:$A$1001,customers!$C$1:$C$1001,_xleta.N/A,0))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f t="shared" si="15"/>
        <v>5.97</v>
      </c>
      <c r="N363" t="str">
        <f t="shared" si="16"/>
        <v>Robusta</v>
      </c>
      <c r="O363" t="str">
        <f t="shared" si="17"/>
        <v>Medium</v>
      </c>
      <c r="P363" t="str">
        <f>_xlfn.XLOOKUP(Table1[[#This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cm="1">
        <f t="array" ref="G364">IF(_xlfn.XLOOKUP(C364,customers!$A$1:$A$1001,customers!$C$1:$C$1001,_xleta.N/A,0)=0,"",_xlfn.XLOOKUP(C364,customers!$A$1:$A$1001,customers!$C$1:$C$1001,_xleta.N/A,0))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f t="shared" si="15"/>
        <v>74.25</v>
      </c>
      <c r="N364" t="str">
        <f t="shared" si="16"/>
        <v>Excelsa</v>
      </c>
      <c r="O364" t="str">
        <f t="shared" si="17"/>
        <v>Large</v>
      </c>
      <c r="P364" t="str">
        <f>_xlfn.XLOOKUP(Table1[[#This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cm="1">
        <f t="array" ref="G365">IF(_xlfn.XLOOKUP(C365,customers!$A$1:$A$1001,customers!$C$1:$C$1001,_xleta.N/A,0)=0,"",_xlfn.XLOOKUP(C365,customers!$A$1:$A$1001,customers!$C$1:$C$1001,_xleta.N/A,0))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f t="shared" si="15"/>
        <v>87.300000000000011</v>
      </c>
      <c r="N365" t="str">
        <f t="shared" si="16"/>
        <v>Liberica</v>
      </c>
      <c r="O365" t="str">
        <f t="shared" si="17"/>
        <v>Medium</v>
      </c>
      <c r="P365" t="str">
        <f>_xlfn.XLOOKUP(Table1[[#This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cm="1">
        <f t="array" ref="G366">IF(_xlfn.XLOOKUP(C366,customers!$A$1:$A$1001,customers!$C$1:$C$1001,_xleta.N/A,0)=0,"",_xlfn.XLOOKUP(C366,customers!$A$1:$A$1001,customers!$C$1:$C$1001,_xleta.N/A,0))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f t="shared" si="15"/>
        <v>72.900000000000006</v>
      </c>
      <c r="N366" t="str">
        <f t="shared" si="16"/>
        <v>Excelsa</v>
      </c>
      <c r="O366" t="str">
        <f t="shared" si="17"/>
        <v>Dark</v>
      </c>
      <c r="P366" t="str">
        <f>_xlfn.XLOOKUP(Table1[[#This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cm="1">
        <f t="array" ref="G367">IF(_xlfn.XLOOKUP(C367,customers!$A$1:$A$1001,customers!$C$1:$C$1001,_xleta.N/A,0)=0,"",_xlfn.XLOOKUP(C367,customers!$A$1:$A$1001,customers!$C$1:$C$1001,_xleta.N/A,0))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f t="shared" si="15"/>
        <v>7.77</v>
      </c>
      <c r="N367" t="str">
        <f t="shared" si="16"/>
        <v>Liberica</v>
      </c>
      <c r="O367" t="str">
        <f t="shared" si="17"/>
        <v>Dark</v>
      </c>
      <c r="P367" t="str">
        <f>_xlfn.XLOOKUP(Table1[[#This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cm="1">
        <f t="array" ref="G368">IF(_xlfn.XLOOKUP(C368,customers!$A$1:$A$1001,customers!$C$1:$C$1001,_xleta.N/A,0)=0,"",_xlfn.XLOOKUP(C368,customers!$A$1:$A$1001,customers!$C$1:$C$1001,_xleta.N/A,0))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f t="shared" si="15"/>
        <v>43.74</v>
      </c>
      <c r="N368" t="str">
        <f t="shared" si="16"/>
        <v>Excelsa</v>
      </c>
      <c r="O368" t="str">
        <f t="shared" si="17"/>
        <v>Dark</v>
      </c>
      <c r="P368" t="str">
        <f>_xlfn.XLOOKUP(Table1[[#This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cm="1">
        <f t="array" ref="G369">IF(_xlfn.XLOOKUP(C369,customers!$A$1:$A$1001,customers!$C$1:$C$1001,_xleta.N/A,0)=0,"",_xlfn.XLOOKUP(C369,customers!$A$1:$A$1001,customers!$C$1:$C$1001,_xleta.N/A,0))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f t="shared" si="15"/>
        <v>8.73</v>
      </c>
      <c r="N369" t="str">
        <f t="shared" si="16"/>
        <v>Liberica</v>
      </c>
      <c r="O369" t="str">
        <f t="shared" si="17"/>
        <v>Medium</v>
      </c>
      <c r="P369" t="str">
        <f>_xlfn.XLOOKUP(Table1[[#This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cm="1">
        <f t="array" ref="G370">IF(_xlfn.XLOOKUP(C370,customers!$A$1:$A$1001,customers!$C$1:$C$1001,_xleta.N/A,0)=0,"",_xlfn.XLOOKUP(C370,customers!$A$1:$A$1001,customers!$C$1:$C$1001,_xleta.N/A,0))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f t="shared" si="15"/>
        <v>63.249999999999993</v>
      </c>
      <c r="N370" t="str">
        <f t="shared" si="16"/>
        <v>Excelsa</v>
      </c>
      <c r="O370" t="str">
        <f t="shared" si="17"/>
        <v>Medium</v>
      </c>
      <c r="P370" t="str">
        <f>_xlfn.XLOOKUP(Table1[[#This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cm="1">
        <f t="array" ref="G371">IF(_xlfn.XLOOKUP(C371,customers!$A$1:$A$1001,customers!$C$1:$C$1001,_xleta.N/A,0)=0,"",_xlfn.XLOOKUP(C371,customers!$A$1:$A$1001,customers!$C$1:$C$1001,_xleta.N/A,0))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f t="shared" si="15"/>
        <v>8.91</v>
      </c>
      <c r="N371" t="str">
        <f t="shared" si="16"/>
        <v>Excelsa</v>
      </c>
      <c r="O371" t="str">
        <f t="shared" si="17"/>
        <v>Large</v>
      </c>
      <c r="P371" t="str">
        <f>_xlfn.XLOOKUP(Table1[[#This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cm="1">
        <f t="array" ref="G372">IF(_xlfn.XLOOKUP(C372,customers!$A$1:$A$1001,customers!$C$1:$C$1001,_xleta.N/A,0)=0,"",_xlfn.XLOOKUP(C372,customers!$A$1:$A$1001,customers!$C$1:$C$1001,_xleta.N/A,0))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f t="shared" si="15"/>
        <v>24.3</v>
      </c>
      <c r="N372" t="str">
        <f t="shared" si="16"/>
        <v>Excelsa</v>
      </c>
      <c r="O372" t="str">
        <f t="shared" si="17"/>
        <v>Dark</v>
      </c>
      <c r="P372" t="str">
        <f>_xlfn.XLOOKUP(Table1[[#This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cm="1">
        <f t="array" ref="G373">IF(_xlfn.XLOOKUP(C373,customers!$A$1:$A$1001,customers!$C$1:$C$1001,_xleta.N/A,0)=0,"",_xlfn.XLOOKUP(C373,customers!$A$1:$A$1001,customers!$C$1:$C$1001,_xleta.N/A,0))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f t="shared" si="15"/>
        <v>46.62</v>
      </c>
      <c r="N373" t="str">
        <f t="shared" si="16"/>
        <v>Arabica</v>
      </c>
      <c r="O373" t="str">
        <f t="shared" si="17"/>
        <v>Large</v>
      </c>
      <c r="P373" t="str">
        <f>_xlfn.XLOOKUP(Table1[[#This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cm="1">
        <f t="array" ref="G374">IF(_xlfn.XLOOKUP(C374,customers!$A$1:$A$1001,customers!$C$1:$C$1001,_xleta.N/A,0)=0,"",_xlfn.XLOOKUP(C374,customers!$A$1:$A$1001,customers!$C$1:$C$1001,_xleta.N/A,0))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f t="shared" si="15"/>
        <v>43.019999999999996</v>
      </c>
      <c r="N374" t="str">
        <f t="shared" si="16"/>
        <v>Robusta</v>
      </c>
      <c r="O374" t="str">
        <f t="shared" si="17"/>
        <v>Large</v>
      </c>
      <c r="P374" t="str">
        <f>_xlfn.XLOOKUP(Table1[[#This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cm="1">
        <f t="array" ref="G375">IF(_xlfn.XLOOKUP(C375,customers!$A$1:$A$1001,customers!$C$1:$C$1001,_xleta.N/A,0)=0,"",_xlfn.XLOOKUP(C375,customers!$A$1:$A$1001,customers!$C$1:$C$1001,_xleta.N/A,0))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f t="shared" si="15"/>
        <v>17.91</v>
      </c>
      <c r="N375" t="str">
        <f t="shared" si="16"/>
        <v>Arabica</v>
      </c>
      <c r="O375" t="str">
        <f t="shared" si="17"/>
        <v>Dark</v>
      </c>
      <c r="P375" t="str">
        <f>_xlfn.XLOOKUP(Table1[[#This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cm="1">
        <f t="array" ref="G376">IF(_xlfn.XLOOKUP(C376,customers!$A$1:$A$1001,customers!$C$1:$C$1001,_xleta.N/A,0)=0,"",_xlfn.XLOOKUP(C376,customers!$A$1:$A$1001,customers!$C$1:$C$1001,_xleta.N/A,0))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f t="shared" si="15"/>
        <v>38.04</v>
      </c>
      <c r="N376" t="str">
        <f t="shared" si="16"/>
        <v>Liberica</v>
      </c>
      <c r="O376" t="str">
        <f t="shared" si="17"/>
        <v>Large</v>
      </c>
      <c r="P376" t="str">
        <f>_xlfn.XLOOKUP(Table1[[#This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cm="1">
        <f t="array" ref="G377">IF(_xlfn.XLOOKUP(C377,customers!$A$1:$A$1001,customers!$C$1:$C$1001,_xleta.N/A,0)=0,"",_xlfn.XLOOKUP(C377,customers!$A$1:$A$1001,customers!$C$1:$C$1001,_xleta.N/A,0))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f t="shared" si="15"/>
        <v>6.75</v>
      </c>
      <c r="N377" t="str">
        <f t="shared" si="16"/>
        <v>Arabica</v>
      </c>
      <c r="O377" t="str">
        <f t="shared" si="17"/>
        <v>Medium</v>
      </c>
      <c r="P377" t="str">
        <f>_xlfn.XLOOKUP(Table1[[#This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cm="1">
        <f t="array" ref="G378">IF(_xlfn.XLOOKUP(C378,customers!$A$1:$A$1001,customers!$C$1:$C$1001,_xleta.N/A,0)=0,"",_xlfn.XLOOKUP(C378,customers!$A$1:$A$1001,customers!$C$1:$C$1001,_xleta.N/A,0))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f t="shared" si="15"/>
        <v>5.97</v>
      </c>
      <c r="N378" t="str">
        <f t="shared" si="16"/>
        <v>Robusta</v>
      </c>
      <c r="O378" t="str">
        <f t="shared" si="17"/>
        <v>Medium</v>
      </c>
      <c r="P378" t="str">
        <f>_xlfn.XLOOKUP(Table1[[#This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cm="1">
        <f t="array" ref="G379">IF(_xlfn.XLOOKUP(C379,customers!$A$1:$A$1001,customers!$C$1:$C$1001,_xleta.N/A,0)=0,"",_xlfn.XLOOKUP(C379,customers!$A$1:$A$1001,customers!$C$1:$C$1001,_xleta.N/A,0))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f t="shared" si="15"/>
        <v>8.0549999999999997</v>
      </c>
      <c r="N379" t="str">
        <f t="shared" si="16"/>
        <v>Robusta</v>
      </c>
      <c r="O379" t="str">
        <f t="shared" si="17"/>
        <v>Dark</v>
      </c>
      <c r="P379" t="str">
        <f>_xlfn.XLOOKUP(Table1[[#This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cm="1">
        <f t="array" ref="G380">IF(_xlfn.XLOOKUP(C380,customers!$A$1:$A$1001,customers!$C$1:$C$1001,_xleta.N/A,0)=0,"",_xlfn.XLOOKUP(C380,customers!$A$1:$A$1001,customers!$C$1:$C$1001,_xleta.N/A,0))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f t="shared" si="15"/>
        <v>23.31</v>
      </c>
      <c r="N380" t="str">
        <f t="shared" si="16"/>
        <v>Arabica</v>
      </c>
      <c r="O380" t="str">
        <f t="shared" si="17"/>
        <v>Large</v>
      </c>
      <c r="P380" t="str">
        <f>_xlfn.XLOOKUP(Table1[[#This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cm="1">
        <f t="array" ref="G381">IF(_xlfn.XLOOKUP(C381,customers!$A$1:$A$1001,customers!$C$1:$C$1001,_xleta.N/A,0)=0,"",_xlfn.XLOOKUP(C381,customers!$A$1:$A$1001,customers!$C$1:$C$1001,_xleta.N/A,0))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f t="shared" si="15"/>
        <v>43.019999999999996</v>
      </c>
      <c r="N381" t="str">
        <f t="shared" si="16"/>
        <v>Robusta</v>
      </c>
      <c r="O381" t="str">
        <f t="shared" si="17"/>
        <v>Large</v>
      </c>
      <c r="P381" t="str">
        <f>_xlfn.XLOOKUP(Table1[[#This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cm="1">
        <f t="array" ref="G382">IF(_xlfn.XLOOKUP(C382,customers!$A$1:$A$1001,customers!$C$1:$C$1001,_xleta.N/A,0)=0,"",_xlfn.XLOOKUP(C382,customers!$A$1:$A$1001,customers!$C$1:$C$1001,_xleta.N/A,0))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f t="shared" si="15"/>
        <v>23.31</v>
      </c>
      <c r="N382" t="str">
        <f t="shared" si="16"/>
        <v>Liberica</v>
      </c>
      <c r="O382" t="str">
        <f t="shared" si="17"/>
        <v>Dark</v>
      </c>
      <c r="P382" t="str">
        <f>_xlfn.XLOOKUP(Table1[[#This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cm="1">
        <f t="array" ref="G383">IF(_xlfn.XLOOKUP(C383,customers!$A$1:$A$1001,customers!$C$1:$C$1001,_xleta.N/A,0)=0,"",_xlfn.XLOOKUP(C383,customers!$A$1:$A$1001,customers!$C$1:$C$1001,_xleta.N/A,0))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f t="shared" si="15"/>
        <v>14.924999999999999</v>
      </c>
      <c r="N383" t="str">
        <f t="shared" si="16"/>
        <v>Arabica</v>
      </c>
      <c r="O383" t="str">
        <f t="shared" si="17"/>
        <v>Dark</v>
      </c>
      <c r="P383" t="str">
        <f>_xlfn.XLOOKUP(Table1[[#This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cm="1">
        <f t="array" ref="G384">IF(_xlfn.XLOOKUP(C384,customers!$A$1:$A$1001,customers!$C$1:$C$1001,_xleta.N/A,0)=0,"",_xlfn.XLOOKUP(C384,customers!$A$1:$A$1001,customers!$C$1:$C$1001,_xleta.N/A,0))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f t="shared" si="15"/>
        <v>21.87</v>
      </c>
      <c r="N384" t="str">
        <f t="shared" si="16"/>
        <v>Excelsa</v>
      </c>
      <c r="O384" t="str">
        <f t="shared" si="17"/>
        <v>Dark</v>
      </c>
      <c r="P384" t="str">
        <f>_xlfn.XLOOKUP(Table1[[#This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cm="1">
        <f t="array" ref="G385">IF(_xlfn.XLOOKUP(C385,customers!$A$1:$A$1001,customers!$C$1:$C$1001,_xleta.N/A,0)=0,"",_xlfn.XLOOKUP(C385,customers!$A$1:$A$1001,customers!$C$1:$C$1001,_xleta.N/A,0))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f t="shared" si="15"/>
        <v>53.46</v>
      </c>
      <c r="N385" t="str">
        <f t="shared" si="16"/>
        <v>Excelsa</v>
      </c>
      <c r="O385" t="str">
        <f t="shared" si="17"/>
        <v>Large</v>
      </c>
      <c r="P385" t="str">
        <f>_xlfn.XLOOKUP(Table1[[#This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cm="1">
        <f t="array" ref="G386">IF(_xlfn.XLOOKUP(C386,customers!$A$1:$A$1001,customers!$C$1:$C$1001,_xleta.N/A,0)=0,"",_xlfn.XLOOKUP(C386,customers!$A$1:$A$1001,customers!$C$1:$C$1001,_xleta.N/A,0))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f t="shared" si="15"/>
        <v>119.13999999999999</v>
      </c>
      <c r="N386" t="str">
        <f t="shared" si="16"/>
        <v>Arabica</v>
      </c>
      <c r="O386" t="str">
        <f t="shared" si="17"/>
        <v>Large</v>
      </c>
      <c r="P386" t="str">
        <f>_xlfn.XLOOKUP(Table1[[#This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cm="1">
        <f t="array" ref="G387">IF(_xlfn.XLOOKUP(C387,customers!$A$1:$A$1001,customers!$C$1:$C$1001,_xleta.N/A,0)=0,"",_xlfn.XLOOKUP(C387,customers!$A$1:$A$1001,customers!$C$1:$C$1001,_xleta.N/A,0))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_xlfn.XLOOKUP(Table1[[#This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cm="1">
        <f t="array" ref="G388">IF(_xlfn.XLOOKUP(C388,customers!$A$1:$A$1001,customers!$C$1:$C$1001,_xleta.N/A,0)=0,"",_xlfn.XLOOKUP(C388,customers!$A$1:$A$1001,customers!$C$1:$C$1001,_xleta.N/A,0))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f t="shared" si="18"/>
        <v>17.91</v>
      </c>
      <c r="N388" t="str">
        <f t="shared" si="19"/>
        <v>Arabica</v>
      </c>
      <c r="O388" t="str">
        <f t="shared" si="20"/>
        <v>Dark</v>
      </c>
      <c r="P388" t="str">
        <f>_xlfn.XLOOKUP(Table1[[#This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cm="1">
        <f t="array" ref="G389">IF(_xlfn.XLOOKUP(C389,customers!$A$1:$A$1001,customers!$C$1:$C$1001,_xleta.N/A,0)=0,"",_xlfn.XLOOKUP(C389,customers!$A$1:$A$1001,customers!$C$1:$C$1001,_xleta.N/A,0))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f t="shared" si="18"/>
        <v>74.25</v>
      </c>
      <c r="N389" t="str">
        <f t="shared" si="19"/>
        <v>Excelsa</v>
      </c>
      <c r="O389" t="str">
        <f t="shared" si="20"/>
        <v>Large</v>
      </c>
      <c r="P389" t="str">
        <f>_xlfn.XLOOKUP(Table1[[#This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cm="1">
        <f t="array" ref="G390">IF(_xlfn.XLOOKUP(C390,customers!$A$1:$A$1001,customers!$C$1:$C$1001,_xleta.N/A,0)=0,"",_xlfn.XLOOKUP(C390,customers!$A$1:$A$1001,customers!$C$1:$C$1001,_xleta.N/A,0))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f t="shared" si="18"/>
        <v>11.654999999999999</v>
      </c>
      <c r="N390" t="str">
        <f t="shared" si="19"/>
        <v>Liberica</v>
      </c>
      <c r="O390" t="str">
        <f t="shared" si="20"/>
        <v>Dark</v>
      </c>
      <c r="P390" t="str">
        <f>_xlfn.XLOOKUP(Table1[[#This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cm="1">
        <f t="array" ref="G391">IF(_xlfn.XLOOKUP(C391,customers!$A$1:$A$1001,customers!$C$1:$C$1001,_xleta.N/A,0)=0,"",_xlfn.XLOOKUP(C391,customers!$A$1:$A$1001,customers!$C$1:$C$1001,_xleta.N/A,0))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f t="shared" si="18"/>
        <v>23.31</v>
      </c>
      <c r="N391" t="str">
        <f t="shared" si="19"/>
        <v>Liberica</v>
      </c>
      <c r="O391" t="str">
        <f t="shared" si="20"/>
        <v>Dark</v>
      </c>
      <c r="P391" t="str">
        <f>_xlfn.XLOOKUP(Table1[[#This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cm="1">
        <f t="array" ref="G392">IF(_xlfn.XLOOKUP(C392,customers!$A$1:$A$1001,customers!$C$1:$C$1001,_xleta.N/A,0)=0,"",_xlfn.XLOOKUP(C392,customers!$A$1:$A$1001,customers!$C$1:$C$1001,_xleta.N/A,0))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f t="shared" si="18"/>
        <v>14.58</v>
      </c>
      <c r="N392" t="str">
        <f t="shared" si="19"/>
        <v>Excelsa</v>
      </c>
      <c r="O392" t="str">
        <f t="shared" si="20"/>
        <v>Dark</v>
      </c>
      <c r="P392" t="str">
        <f>_xlfn.XLOOKUP(Table1[[#This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cm="1">
        <f t="array" ref="G393">IF(_xlfn.XLOOKUP(C393,customers!$A$1:$A$1001,customers!$C$1:$C$1001,_xleta.N/A,0)=0,"",_xlfn.XLOOKUP(C393,customers!$A$1:$A$1001,customers!$C$1:$C$1001,_xleta.N/A,0))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f t="shared" si="18"/>
        <v>13.5</v>
      </c>
      <c r="N393" t="str">
        <f t="shared" si="19"/>
        <v>Arabica</v>
      </c>
      <c r="O393" t="str">
        <f t="shared" si="20"/>
        <v>Medium</v>
      </c>
      <c r="P393" t="str">
        <f>_xlfn.XLOOKUP(Table1[[#This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cm="1">
        <f t="array" ref="G394">IF(_xlfn.XLOOKUP(C394,customers!$A$1:$A$1001,customers!$C$1:$C$1001,_xleta.N/A,0)=0,"",_xlfn.XLOOKUP(C394,customers!$A$1:$A$1001,customers!$C$1:$C$1001,_xleta.N/A,0))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f t="shared" si="18"/>
        <v>89.1</v>
      </c>
      <c r="N394" t="str">
        <f t="shared" si="19"/>
        <v>Excelsa</v>
      </c>
      <c r="O394" t="str">
        <f t="shared" si="20"/>
        <v>Large</v>
      </c>
      <c r="P394" t="str">
        <f>_xlfn.XLOOKUP(Table1[[#This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cm="1">
        <f t="array" ref="G395">IF(_xlfn.XLOOKUP(C395,customers!$A$1:$A$1001,customers!$C$1:$C$1001,_xleta.N/A,0)=0,"",_xlfn.XLOOKUP(C395,customers!$A$1:$A$1001,customers!$C$1:$C$1001,_xleta.N/A,0))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f t="shared" si="18"/>
        <v>3.8849999999999998</v>
      </c>
      <c r="N395" t="str">
        <f t="shared" si="19"/>
        <v>Arabica</v>
      </c>
      <c r="O395" t="str">
        <f t="shared" si="20"/>
        <v>Large</v>
      </c>
      <c r="P395" t="str">
        <f>_xlfn.XLOOKUP(Table1[[#This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cm="1">
        <f t="array" ref="G396">IF(_xlfn.XLOOKUP(C396,customers!$A$1:$A$1001,customers!$C$1:$C$1001,_xleta.N/A,0)=0,"",_xlfn.XLOOKUP(C396,customers!$A$1:$A$1001,customers!$C$1:$C$1001,_xleta.N/A,0))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f t="shared" si="18"/>
        <v>109.93999999999998</v>
      </c>
      <c r="N396" t="str">
        <f t="shared" si="19"/>
        <v>Robusta</v>
      </c>
      <c r="O396" t="str">
        <f t="shared" si="20"/>
        <v>Large</v>
      </c>
      <c r="P396" t="str">
        <f>_xlfn.XLOOKUP(Table1[[#This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cm="1">
        <f t="array" ref="G397">IF(_xlfn.XLOOKUP(C397,customers!$A$1:$A$1001,customers!$C$1:$C$1001,_xleta.N/A,0)=0,"",_xlfn.XLOOKUP(C397,customers!$A$1:$A$1001,customers!$C$1:$C$1001,_xleta.N/A,0))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f t="shared" si="18"/>
        <v>46.62</v>
      </c>
      <c r="N397" t="str">
        <f t="shared" si="19"/>
        <v>Liberica</v>
      </c>
      <c r="O397" t="str">
        <f t="shared" si="20"/>
        <v>Dark</v>
      </c>
      <c r="P397" t="str">
        <f>_xlfn.XLOOKUP(Table1[[#This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cm="1">
        <f t="array" ref="G398">IF(_xlfn.XLOOKUP(C398,customers!$A$1:$A$1001,customers!$C$1:$C$1001,_xleta.N/A,0)=0,"",_xlfn.XLOOKUP(C398,customers!$A$1:$A$1001,customers!$C$1:$C$1001,_xleta.N/A,0))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f t="shared" si="18"/>
        <v>38.849999999999994</v>
      </c>
      <c r="N398" t="str">
        <f t="shared" si="19"/>
        <v>Arabica</v>
      </c>
      <c r="O398" t="str">
        <f t="shared" si="20"/>
        <v>Large</v>
      </c>
      <c r="P398" t="str">
        <f>_xlfn.XLOOKUP(Table1[[#This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cm="1">
        <f t="array" ref="G399">IF(_xlfn.XLOOKUP(C399,customers!$A$1:$A$1001,customers!$C$1:$C$1001,_xleta.N/A,0)=0,"",_xlfn.XLOOKUP(C399,customers!$A$1:$A$1001,customers!$C$1:$C$1001,_xleta.N/A,0))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f t="shared" si="18"/>
        <v>31.08</v>
      </c>
      <c r="N399" t="str">
        <f t="shared" si="19"/>
        <v>Liberica</v>
      </c>
      <c r="O399" t="str">
        <f t="shared" si="20"/>
        <v>Dark</v>
      </c>
      <c r="P399" t="str">
        <f>_xlfn.XLOOKUP(Table1[[#This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cm="1">
        <f t="array" ref="G400">IF(_xlfn.XLOOKUP(C400,customers!$A$1:$A$1001,customers!$C$1:$C$1001,_xleta.N/A,0)=0,"",_xlfn.XLOOKUP(C400,customers!$A$1:$A$1001,customers!$C$1:$C$1001,_xleta.N/A,0))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f t="shared" si="18"/>
        <v>17.91</v>
      </c>
      <c r="N400" t="str">
        <f t="shared" si="19"/>
        <v>Arabica</v>
      </c>
      <c r="O400" t="str">
        <f t="shared" si="20"/>
        <v>Dark</v>
      </c>
      <c r="P400" t="str">
        <f>_xlfn.XLOOKUP(Table1[[#This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cm="1">
        <f t="array" ref="G401">IF(_xlfn.XLOOKUP(C401,customers!$A$1:$A$1001,customers!$C$1:$C$1001,_xleta.N/A,0)=0,"",_xlfn.XLOOKUP(C401,customers!$A$1:$A$1001,customers!$C$1:$C$1001,_xleta.N/A,0))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f t="shared" si="18"/>
        <v>167.67000000000002</v>
      </c>
      <c r="N401" t="str">
        <f t="shared" si="19"/>
        <v>Excelsa</v>
      </c>
      <c r="O401" t="str">
        <f t="shared" si="20"/>
        <v>Dark</v>
      </c>
      <c r="P401" t="str">
        <f>_xlfn.XLOOKUP(Table1[[#This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cm="1">
        <f t="array" ref="G402">IF(_xlfn.XLOOKUP(C402,customers!$A$1:$A$1001,customers!$C$1:$C$1001,_xleta.N/A,0)=0,"",_xlfn.XLOOKUP(C402,customers!$A$1:$A$1001,customers!$C$1:$C$1001,_xleta.N/A,0))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f t="shared" si="18"/>
        <v>63.4</v>
      </c>
      <c r="N402" t="str">
        <f t="shared" si="19"/>
        <v>Liberica</v>
      </c>
      <c r="O402" t="str">
        <f t="shared" si="20"/>
        <v>Large</v>
      </c>
      <c r="P402" t="str">
        <f>_xlfn.XLOOKUP(Table1[[#This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cm="1">
        <f t="array" ref="G403">IF(_xlfn.XLOOKUP(C403,customers!$A$1:$A$1001,customers!$C$1:$C$1001,_xleta.N/A,0)=0,"",_xlfn.XLOOKUP(C403,customers!$A$1:$A$1001,customers!$C$1:$C$1001,_xleta.N/A,0))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f t="shared" si="18"/>
        <v>8.73</v>
      </c>
      <c r="N403" t="str">
        <f t="shared" si="19"/>
        <v>Liberica</v>
      </c>
      <c r="O403" t="str">
        <f t="shared" si="20"/>
        <v>Medium</v>
      </c>
      <c r="P403" t="str">
        <f>_xlfn.XLOOKUP(Table1[[#This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cm="1">
        <f t="array" ref="G404">IF(_xlfn.XLOOKUP(C404,customers!$A$1:$A$1001,customers!$C$1:$C$1001,_xleta.N/A,0)=0,"",_xlfn.XLOOKUP(C404,customers!$A$1:$A$1001,customers!$C$1:$C$1001,_xleta.N/A,0))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f t="shared" si="18"/>
        <v>26.849999999999998</v>
      </c>
      <c r="N404" t="str">
        <f t="shared" si="19"/>
        <v>Robusta</v>
      </c>
      <c r="O404" t="str">
        <f t="shared" si="20"/>
        <v>Dark</v>
      </c>
      <c r="P404" t="str">
        <f>_xlfn.XLOOKUP(Table1[[#This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cm="1">
        <f t="array" ref="G405">IF(_xlfn.XLOOKUP(C405,customers!$A$1:$A$1001,customers!$C$1:$C$1001,_xleta.N/A,0)=0,"",_xlfn.XLOOKUP(C405,customers!$A$1:$A$1001,customers!$C$1:$C$1001,_xleta.N/A,0))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f t="shared" si="18"/>
        <v>9.51</v>
      </c>
      <c r="N405" t="str">
        <f t="shared" si="19"/>
        <v>Liberica</v>
      </c>
      <c r="O405" t="str">
        <f t="shared" si="20"/>
        <v>Large</v>
      </c>
      <c r="P405" t="str">
        <f>_xlfn.XLOOKUP(Table1[[#This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cm="1">
        <f t="array" ref="G406">IF(_xlfn.XLOOKUP(C406,customers!$A$1:$A$1001,customers!$C$1:$C$1001,_xleta.N/A,0)=0,"",_xlfn.XLOOKUP(C406,customers!$A$1:$A$1001,customers!$C$1:$C$1001,_xleta.N/A,0))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f t="shared" si="18"/>
        <v>39.799999999999997</v>
      </c>
      <c r="N406" t="str">
        <f t="shared" si="19"/>
        <v>Arabica</v>
      </c>
      <c r="O406" t="str">
        <f t="shared" si="20"/>
        <v>Dark</v>
      </c>
      <c r="P406" t="str">
        <f>_xlfn.XLOOKUP(Table1[[#This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cm="1">
        <f t="array" ref="G407">IF(_xlfn.XLOOKUP(C407,customers!$A$1:$A$1001,customers!$C$1:$C$1001,_xleta.N/A,0)=0,"",_xlfn.XLOOKUP(C407,customers!$A$1:$A$1001,customers!$C$1:$C$1001,_xleta.N/A,0))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f t="shared" si="18"/>
        <v>24.75</v>
      </c>
      <c r="N407" t="str">
        <f t="shared" si="19"/>
        <v>Excelsa</v>
      </c>
      <c r="O407" t="str">
        <f t="shared" si="20"/>
        <v>Medium</v>
      </c>
      <c r="P407" t="str">
        <f>_xlfn.XLOOKUP(Table1[[#This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cm="1">
        <f t="array" ref="G408">IF(_xlfn.XLOOKUP(C408,customers!$A$1:$A$1001,customers!$C$1:$C$1001,_xleta.N/A,0)=0,"",_xlfn.XLOOKUP(C408,customers!$A$1:$A$1001,customers!$C$1:$C$1001,_xleta.N/A,0))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f t="shared" si="18"/>
        <v>68.75</v>
      </c>
      <c r="N408" t="str">
        <f t="shared" si="19"/>
        <v>Excelsa</v>
      </c>
      <c r="O408" t="str">
        <f t="shared" si="20"/>
        <v>Medium</v>
      </c>
      <c r="P408" t="str">
        <f>_xlfn.XLOOKUP(Table1[[#This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cm="1">
        <f t="array" ref="G409">IF(_xlfn.XLOOKUP(C409,customers!$A$1:$A$1001,customers!$C$1:$C$1001,_xleta.N/A,0)=0,"",_xlfn.XLOOKUP(C409,customers!$A$1:$A$1001,customers!$C$1:$C$1001,_xleta.N/A,0))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f t="shared" si="18"/>
        <v>49.5</v>
      </c>
      <c r="N409" t="str">
        <f t="shared" si="19"/>
        <v>Excelsa</v>
      </c>
      <c r="O409" t="str">
        <f t="shared" si="20"/>
        <v>Medium</v>
      </c>
      <c r="P409" t="str">
        <f>_xlfn.XLOOKUP(Table1[[#This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cm="1">
        <f t="array" ref="G410">IF(_xlfn.XLOOKUP(C410,customers!$A$1:$A$1001,customers!$C$1:$C$1001,_xleta.N/A,0)=0,"",_xlfn.XLOOKUP(C410,customers!$A$1:$A$1001,customers!$C$1:$C$1001,_xleta.N/A,0))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f t="shared" si="18"/>
        <v>51.749999999999993</v>
      </c>
      <c r="N410" t="str">
        <f t="shared" si="19"/>
        <v>Arabica</v>
      </c>
      <c r="O410" t="str">
        <f t="shared" si="20"/>
        <v>Medium</v>
      </c>
      <c r="P410" t="str">
        <f>_xlfn.XLOOKUP(Table1[[#This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cm="1">
        <f t="array" ref="G411">IF(_xlfn.XLOOKUP(C411,customers!$A$1:$A$1001,customers!$C$1:$C$1001,_xleta.N/A,0)=0,"",_xlfn.XLOOKUP(C411,customers!$A$1:$A$1001,customers!$C$1:$C$1001,_xleta.N/A,0))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f t="shared" si="18"/>
        <v>47.55</v>
      </c>
      <c r="N411" t="str">
        <f t="shared" si="19"/>
        <v>Liberica</v>
      </c>
      <c r="O411" t="str">
        <f t="shared" si="20"/>
        <v>Large</v>
      </c>
      <c r="P411" t="str">
        <f>_xlfn.XLOOKUP(Table1[[#This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cm="1">
        <f t="array" ref="G412">IF(_xlfn.XLOOKUP(C412,customers!$A$1:$A$1001,customers!$C$1:$C$1001,_xleta.N/A,0)=0,"",_xlfn.XLOOKUP(C412,customers!$A$1:$A$1001,customers!$C$1:$C$1001,_xleta.N/A,0))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f t="shared" si="18"/>
        <v>15.54</v>
      </c>
      <c r="N412" t="str">
        <f t="shared" si="19"/>
        <v>Arabica</v>
      </c>
      <c r="O412" t="str">
        <f t="shared" si="20"/>
        <v>Large</v>
      </c>
      <c r="P412" t="str">
        <f>_xlfn.XLOOKUP(Table1[[#This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cm="1">
        <f t="array" ref="G413">IF(_xlfn.XLOOKUP(C413,customers!$A$1:$A$1001,customers!$C$1:$C$1001,_xleta.N/A,0)=0,"",_xlfn.XLOOKUP(C413,customers!$A$1:$A$1001,customers!$C$1:$C$1001,_xleta.N/A,0))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f t="shared" si="18"/>
        <v>87.300000000000011</v>
      </c>
      <c r="N413" t="str">
        <f t="shared" si="19"/>
        <v>Liberica</v>
      </c>
      <c r="O413" t="str">
        <f t="shared" si="20"/>
        <v>Medium</v>
      </c>
      <c r="P413" t="str">
        <f>_xlfn.XLOOKUP(Table1[[#This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cm="1">
        <f t="array" ref="G414">IF(_xlfn.XLOOKUP(C414,customers!$A$1:$A$1001,customers!$C$1:$C$1001,_xleta.N/A,0)=0,"",_xlfn.XLOOKUP(C414,customers!$A$1:$A$1001,customers!$C$1:$C$1001,_xleta.N/A,0))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f t="shared" si="18"/>
        <v>56.25</v>
      </c>
      <c r="N414" t="str">
        <f t="shared" si="19"/>
        <v>Arabica</v>
      </c>
      <c r="O414" t="str">
        <f t="shared" si="20"/>
        <v>Medium</v>
      </c>
      <c r="P414" t="str">
        <f>_xlfn.XLOOKUP(Table1[[#This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cm="1">
        <f t="array" ref="G415">IF(_xlfn.XLOOKUP(C415,customers!$A$1:$A$1001,customers!$C$1:$C$1001,_xleta.N/A,0)=0,"",_xlfn.XLOOKUP(C415,customers!$A$1:$A$1001,customers!$C$1:$C$1001,_xleta.N/A,0))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f t="shared" si="18"/>
        <v>36.454999999999998</v>
      </c>
      <c r="N415" t="str">
        <f t="shared" si="19"/>
        <v>Liberica</v>
      </c>
      <c r="O415" t="str">
        <f t="shared" si="20"/>
        <v>Large</v>
      </c>
      <c r="P415" t="str">
        <f>_xlfn.XLOOKUP(Table1[[#This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cm="1">
        <f t="array" ref="G416">IF(_xlfn.XLOOKUP(C416,customers!$A$1:$A$1001,customers!$C$1:$C$1001,_xleta.N/A,0)=0,"",_xlfn.XLOOKUP(C416,customers!$A$1:$A$1001,customers!$C$1:$C$1001,_xleta.N/A,0))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f t="shared" si="18"/>
        <v>10.754999999999999</v>
      </c>
      <c r="N416" t="str">
        <f t="shared" si="19"/>
        <v>Robusta</v>
      </c>
      <c r="O416" t="str">
        <f t="shared" si="20"/>
        <v>Large</v>
      </c>
      <c r="P416" t="str">
        <f>_xlfn.XLOOKUP(Table1[[#This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cm="1">
        <f t="array" ref="G417">IF(_xlfn.XLOOKUP(C417,customers!$A$1:$A$1001,customers!$C$1:$C$1001,_xleta.N/A,0)=0,"",_xlfn.XLOOKUP(C417,customers!$A$1:$A$1001,customers!$C$1:$C$1001,_xleta.N/A,0))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f t="shared" si="18"/>
        <v>8.9550000000000001</v>
      </c>
      <c r="N417" t="str">
        <f t="shared" si="19"/>
        <v>Robusta</v>
      </c>
      <c r="O417" t="str">
        <f t="shared" si="20"/>
        <v>Medium</v>
      </c>
      <c r="P417" t="str">
        <f>_xlfn.XLOOKUP(Table1[[#This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cm="1">
        <f t="array" ref="G418">IF(_xlfn.XLOOKUP(C418,customers!$A$1:$A$1001,customers!$C$1:$C$1001,_xleta.N/A,0)=0,"",_xlfn.XLOOKUP(C418,customers!$A$1:$A$1001,customers!$C$1:$C$1001,_xleta.N/A,0))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f t="shared" si="18"/>
        <v>23.31</v>
      </c>
      <c r="N418" t="str">
        <f t="shared" si="19"/>
        <v>Arabica</v>
      </c>
      <c r="O418" t="str">
        <f t="shared" si="20"/>
        <v>Large</v>
      </c>
      <c r="P418" t="str">
        <f>_xlfn.XLOOKUP(Table1[[#This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cm="1">
        <f t="array" ref="G419">IF(_xlfn.XLOOKUP(C419,customers!$A$1:$A$1001,customers!$C$1:$C$1001,_xleta.N/A,0)=0,"",_xlfn.XLOOKUP(C419,customers!$A$1:$A$1001,customers!$C$1:$C$1001,_xleta.N/A,0))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f t="shared" si="18"/>
        <v>29.784999999999997</v>
      </c>
      <c r="N419" t="str">
        <f t="shared" si="19"/>
        <v>Arabica</v>
      </c>
      <c r="O419" t="str">
        <f t="shared" si="20"/>
        <v>Large</v>
      </c>
      <c r="P419" t="str">
        <f>_xlfn.XLOOKUP(Table1[[#This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cm="1">
        <f t="array" ref="G420">IF(_xlfn.XLOOKUP(C420,customers!$A$1:$A$1001,customers!$C$1:$C$1001,_xleta.N/A,0)=0,"",_xlfn.XLOOKUP(C420,customers!$A$1:$A$1001,customers!$C$1:$C$1001,_xleta.N/A,0))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f t="shared" si="18"/>
        <v>148.92499999999998</v>
      </c>
      <c r="N420" t="str">
        <f t="shared" si="19"/>
        <v>Arabica</v>
      </c>
      <c r="O420" t="str">
        <f t="shared" si="20"/>
        <v>Large</v>
      </c>
      <c r="P420" t="str">
        <f>_xlfn.XLOOKUP(Table1[[#This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cm="1">
        <f t="array" ref="G421">IF(_xlfn.XLOOKUP(C421,customers!$A$1:$A$1001,customers!$C$1:$C$1001,_xleta.N/A,0)=0,"",_xlfn.XLOOKUP(C421,customers!$A$1:$A$1001,customers!$C$1:$C$1001,_xleta.N/A,0))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f t="shared" si="18"/>
        <v>8.73</v>
      </c>
      <c r="N421" t="str">
        <f t="shared" si="19"/>
        <v>Liberica</v>
      </c>
      <c r="O421" t="str">
        <f t="shared" si="20"/>
        <v>Medium</v>
      </c>
      <c r="P421" t="str">
        <f>_xlfn.XLOOKUP(Table1[[#This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cm="1">
        <f t="array" ref="G422">IF(_xlfn.XLOOKUP(C422,customers!$A$1:$A$1001,customers!$C$1:$C$1001,_xleta.N/A,0)=0,"",_xlfn.XLOOKUP(C422,customers!$A$1:$A$1001,customers!$C$1:$C$1001,_xleta.N/A,0))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f t="shared" si="18"/>
        <v>31.08</v>
      </c>
      <c r="N422" t="str">
        <f t="shared" si="19"/>
        <v>Liberica</v>
      </c>
      <c r="O422" t="str">
        <f t="shared" si="20"/>
        <v>Dark</v>
      </c>
      <c r="P422" t="str">
        <f>_xlfn.XLOOKUP(Table1[[#This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cm="1">
        <f t="array" ref="G423">IF(_xlfn.XLOOKUP(C423,customers!$A$1:$A$1001,customers!$C$1:$C$1001,_xleta.N/A,0)=0,"",_xlfn.XLOOKUP(C423,customers!$A$1:$A$1001,customers!$C$1:$C$1001,_xleta.N/A,0))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f t="shared" si="18"/>
        <v>137.31</v>
      </c>
      <c r="N423" t="str">
        <f t="shared" si="19"/>
        <v>Arabica</v>
      </c>
      <c r="O423" t="str">
        <f t="shared" si="20"/>
        <v>Dark</v>
      </c>
      <c r="P423" t="str">
        <f>_xlfn.XLOOKUP(Table1[[#This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cm="1">
        <f t="array" ref="G424">IF(_xlfn.XLOOKUP(C424,customers!$A$1:$A$1001,customers!$C$1:$C$1001,_xleta.N/A,0)=0,"",_xlfn.XLOOKUP(C424,customers!$A$1:$A$1001,customers!$C$1:$C$1001,_xleta.N/A,0))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f t="shared" si="18"/>
        <v>29.849999999999998</v>
      </c>
      <c r="N424" t="str">
        <f t="shared" si="19"/>
        <v>Arabica</v>
      </c>
      <c r="O424" t="str">
        <f t="shared" si="20"/>
        <v>Dark</v>
      </c>
      <c r="P424" t="str">
        <f>_xlfn.XLOOKUP(Table1[[#This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cm="1">
        <f t="array" ref="G425">IF(_xlfn.XLOOKUP(C425,customers!$A$1:$A$1001,customers!$C$1:$C$1001,_xleta.N/A,0)=0,"",_xlfn.XLOOKUP(C425,customers!$A$1:$A$1001,customers!$C$1:$C$1001,_xleta.N/A,0))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f t="shared" si="18"/>
        <v>17.91</v>
      </c>
      <c r="N425" t="str">
        <f t="shared" si="19"/>
        <v>Robusta</v>
      </c>
      <c r="O425" t="str">
        <f t="shared" si="20"/>
        <v>Medium</v>
      </c>
      <c r="P425" t="str">
        <f>_xlfn.XLOOKUP(Table1[[#This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cm="1">
        <f t="array" ref="G426">IF(_xlfn.XLOOKUP(C426,customers!$A$1:$A$1001,customers!$C$1:$C$1001,_xleta.N/A,0)=0,"",_xlfn.XLOOKUP(C426,customers!$A$1:$A$1001,customers!$C$1:$C$1001,_xleta.N/A,0))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f t="shared" si="18"/>
        <v>26.73</v>
      </c>
      <c r="N426" t="str">
        <f t="shared" si="19"/>
        <v>Excelsa</v>
      </c>
      <c r="O426" t="str">
        <f t="shared" si="20"/>
        <v>Large</v>
      </c>
      <c r="P426" t="str">
        <f>_xlfn.XLOOKUP(Table1[[#This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cm="1">
        <f t="array" ref="G427">IF(_xlfn.XLOOKUP(C427,customers!$A$1:$A$1001,customers!$C$1:$C$1001,_xleta.N/A,0)=0,"",_xlfn.XLOOKUP(C427,customers!$A$1:$A$1001,customers!$C$1:$C$1001,_xleta.N/A,0))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f t="shared" si="18"/>
        <v>17.899999999999999</v>
      </c>
      <c r="N427" t="str">
        <f t="shared" si="19"/>
        <v>Robusta</v>
      </c>
      <c r="O427" t="str">
        <f t="shared" si="20"/>
        <v>Dark</v>
      </c>
      <c r="P427" t="str">
        <f>_xlfn.XLOOKUP(Table1[[#This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cm="1">
        <f t="array" ref="G428">IF(_xlfn.XLOOKUP(C428,customers!$A$1:$A$1001,customers!$C$1:$C$1001,_xleta.N/A,0)=0,"",_xlfn.XLOOKUP(C428,customers!$A$1:$A$1001,customers!$C$1:$C$1001,_xleta.N/A,0))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f t="shared" si="18"/>
        <v>14.339999999999998</v>
      </c>
      <c r="N428" t="str">
        <f t="shared" si="19"/>
        <v>Robusta</v>
      </c>
      <c r="O428" t="str">
        <f t="shared" si="20"/>
        <v>Large</v>
      </c>
      <c r="P428" t="str">
        <f>_xlfn.XLOOKUP(Table1[[#This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cm="1">
        <f t="array" ref="G429">IF(_xlfn.XLOOKUP(C429,customers!$A$1:$A$1001,customers!$C$1:$C$1001,_xleta.N/A,0)=0,"",_xlfn.XLOOKUP(C429,customers!$A$1:$A$1001,customers!$C$1:$C$1001,_xleta.N/A,0))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f t="shared" si="18"/>
        <v>77.624999999999986</v>
      </c>
      <c r="N429" t="str">
        <f t="shared" si="19"/>
        <v>Arabica</v>
      </c>
      <c r="O429" t="str">
        <f t="shared" si="20"/>
        <v>Medium</v>
      </c>
      <c r="P429" t="str">
        <f>_xlfn.XLOOKUP(Table1[[#This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cm="1">
        <f t="array" ref="G430">IF(_xlfn.XLOOKUP(C430,customers!$A$1:$A$1001,customers!$C$1:$C$1001,_xleta.N/A,0)=0,"",_xlfn.XLOOKUP(C430,customers!$A$1:$A$1001,customers!$C$1:$C$1001,_xleta.N/A,0))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f t="shared" si="18"/>
        <v>59.75</v>
      </c>
      <c r="N430" t="str">
        <f t="shared" si="19"/>
        <v>Robusta</v>
      </c>
      <c r="O430" t="str">
        <f t="shared" si="20"/>
        <v>Large</v>
      </c>
      <c r="P430" t="str">
        <f>_xlfn.XLOOKUP(Table1[[#This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cm="1">
        <f t="array" ref="G431">IF(_xlfn.XLOOKUP(C431,customers!$A$1:$A$1001,customers!$C$1:$C$1001,_xleta.N/A,0)=0,"",_xlfn.XLOOKUP(C431,customers!$A$1:$A$1001,customers!$C$1:$C$1001,_xleta.N/A,0))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f t="shared" si="18"/>
        <v>77.699999999999989</v>
      </c>
      <c r="N431" t="str">
        <f t="shared" si="19"/>
        <v>Arabica</v>
      </c>
      <c r="O431" t="str">
        <f t="shared" si="20"/>
        <v>Large</v>
      </c>
      <c r="P431" t="str">
        <f>_xlfn.XLOOKUP(Table1[[#This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cm="1">
        <f t="array" ref="G432">IF(_xlfn.XLOOKUP(C432,customers!$A$1:$A$1001,customers!$C$1:$C$1001,_xleta.N/A,0)=0,"",_xlfn.XLOOKUP(C432,customers!$A$1:$A$1001,customers!$C$1:$C$1001,_xleta.N/A,0))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f t="shared" si="18"/>
        <v>5.3699999999999992</v>
      </c>
      <c r="N432" t="str">
        <f t="shared" si="19"/>
        <v>Robusta</v>
      </c>
      <c r="O432" t="str">
        <f t="shared" si="20"/>
        <v>Dark</v>
      </c>
      <c r="P432" t="str">
        <f>_xlfn.XLOOKUP(Table1[[#This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cm="1">
        <f t="array" ref="G433">IF(_xlfn.XLOOKUP(C433,customers!$A$1:$A$1001,customers!$C$1:$C$1001,_xleta.N/A,0)=0,"",_xlfn.XLOOKUP(C433,customers!$A$1:$A$1001,customers!$C$1:$C$1001,_xleta.N/A,0))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f t="shared" si="18"/>
        <v>83.835000000000008</v>
      </c>
      <c r="N433" t="str">
        <f t="shared" si="19"/>
        <v>Excelsa</v>
      </c>
      <c r="O433" t="str">
        <f t="shared" si="20"/>
        <v>Dark</v>
      </c>
      <c r="P433" t="str">
        <f>_xlfn.XLOOKUP(Table1[[#This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cm="1">
        <f t="array" ref="G434">IF(_xlfn.XLOOKUP(C434,customers!$A$1:$A$1001,customers!$C$1:$C$1001,_xleta.N/A,0)=0,"",_xlfn.XLOOKUP(C434,customers!$A$1:$A$1001,customers!$C$1:$C$1001,_xleta.N/A,0))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f t="shared" si="18"/>
        <v>22.5</v>
      </c>
      <c r="N434" t="str">
        <f t="shared" si="19"/>
        <v>Arabica</v>
      </c>
      <c r="O434" t="str">
        <f t="shared" si="20"/>
        <v>Medium</v>
      </c>
      <c r="P434" t="str">
        <f>_xlfn.XLOOKUP(Table1[[#This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cm="1">
        <f t="array" ref="G435">IF(_xlfn.XLOOKUP(C435,customers!$A$1:$A$1001,customers!$C$1:$C$1001,_xleta.N/A,0)=0,"",_xlfn.XLOOKUP(C435,customers!$A$1:$A$1001,customers!$C$1:$C$1001,_xleta.N/A,0))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f t="shared" si="18"/>
        <v>200.78999999999996</v>
      </c>
      <c r="N435" t="str">
        <f t="shared" si="19"/>
        <v>Liberica</v>
      </c>
      <c r="O435" t="str">
        <f t="shared" si="20"/>
        <v>Medium</v>
      </c>
      <c r="P435" t="str">
        <f>_xlfn.XLOOKUP(Table1[[#This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cm="1">
        <f t="array" ref="G436">IF(_xlfn.XLOOKUP(C436,customers!$A$1:$A$1001,customers!$C$1:$C$1001,_xleta.N/A,0)=0,"",_xlfn.XLOOKUP(C436,customers!$A$1:$A$1001,customers!$C$1:$C$1001,_xleta.N/A,0))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f t="shared" si="18"/>
        <v>67.5</v>
      </c>
      <c r="N436" t="str">
        <f t="shared" si="19"/>
        <v>Arabica</v>
      </c>
      <c r="O436" t="str">
        <f t="shared" si="20"/>
        <v>Medium</v>
      </c>
      <c r="P436" t="str">
        <f>_xlfn.XLOOKUP(Table1[[#This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cm="1">
        <f t="array" ref="G437">IF(_xlfn.XLOOKUP(C437,customers!$A$1:$A$1001,customers!$C$1:$C$1001,_xleta.N/A,0)=0,"",_xlfn.XLOOKUP(C437,customers!$A$1:$A$1001,customers!$C$1:$C$1001,_xleta.N/A,0))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f t="shared" si="18"/>
        <v>8.25</v>
      </c>
      <c r="N437" t="str">
        <f t="shared" si="19"/>
        <v>Excelsa</v>
      </c>
      <c r="O437" t="str">
        <f t="shared" si="20"/>
        <v>Medium</v>
      </c>
      <c r="P437" t="str">
        <f>_xlfn.XLOOKUP(Table1[[#This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cm="1">
        <f t="array" ref="G438">IF(_xlfn.XLOOKUP(C438,customers!$A$1:$A$1001,customers!$C$1:$C$1001,_xleta.N/A,0)=0,"",_xlfn.XLOOKUP(C438,customers!$A$1:$A$1001,customers!$C$1:$C$1001,_xleta.N/A,0))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f t="shared" si="18"/>
        <v>9.51</v>
      </c>
      <c r="N438" t="str">
        <f t="shared" si="19"/>
        <v>Liberica</v>
      </c>
      <c r="O438" t="str">
        <f t="shared" si="20"/>
        <v>Large</v>
      </c>
      <c r="P438" t="str">
        <f>_xlfn.XLOOKUP(Table1[[#This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cm="1">
        <f t="array" ref="G439">IF(_xlfn.XLOOKUP(C439,customers!$A$1:$A$1001,customers!$C$1:$C$1001,_xleta.N/A,0)=0,"",_xlfn.XLOOKUP(C439,customers!$A$1:$A$1001,customers!$C$1:$C$1001,_xleta.N/A,0))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f t="shared" si="18"/>
        <v>29.784999999999997</v>
      </c>
      <c r="N439" t="str">
        <f t="shared" si="19"/>
        <v>Liberica</v>
      </c>
      <c r="O439" t="str">
        <f t="shared" si="20"/>
        <v>Dark</v>
      </c>
      <c r="P439" t="str">
        <f>_xlfn.XLOOKUP(Table1[[#This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cm="1">
        <f t="array" ref="G440">IF(_xlfn.XLOOKUP(C440,customers!$A$1:$A$1001,customers!$C$1:$C$1001,_xleta.N/A,0)=0,"",_xlfn.XLOOKUP(C440,customers!$A$1:$A$1001,customers!$C$1:$C$1001,_xleta.N/A,0))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f t="shared" si="18"/>
        <v>15.54</v>
      </c>
      <c r="N440" t="str">
        <f t="shared" si="19"/>
        <v>Liberica</v>
      </c>
      <c r="O440" t="str">
        <f t="shared" si="20"/>
        <v>Dark</v>
      </c>
      <c r="P440" t="str">
        <f>_xlfn.XLOOKUP(Table1[[#This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cm="1">
        <f t="array" ref="G441">IF(_xlfn.XLOOKUP(C441,customers!$A$1:$A$1001,customers!$C$1:$C$1001,_xleta.N/A,0)=0,"",_xlfn.XLOOKUP(C441,customers!$A$1:$A$1001,customers!$C$1:$C$1001,_xleta.N/A,0))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f t="shared" si="18"/>
        <v>35.64</v>
      </c>
      <c r="N441" t="str">
        <f t="shared" si="19"/>
        <v>Excelsa</v>
      </c>
      <c r="O441" t="str">
        <f t="shared" si="20"/>
        <v>Large</v>
      </c>
      <c r="P441" t="str">
        <f>_xlfn.XLOOKUP(Table1[[#This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cm="1">
        <f t="array" ref="G442">IF(_xlfn.XLOOKUP(C442,customers!$A$1:$A$1001,customers!$C$1:$C$1001,_xleta.N/A,0)=0,"",_xlfn.XLOOKUP(C442,customers!$A$1:$A$1001,customers!$C$1:$C$1001,_xleta.N/A,0))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f t="shared" si="18"/>
        <v>103.49999999999999</v>
      </c>
      <c r="N442" t="str">
        <f t="shared" si="19"/>
        <v>Arabica</v>
      </c>
      <c r="O442" t="str">
        <f t="shared" si="20"/>
        <v>Medium</v>
      </c>
      <c r="P442" t="str">
        <f>_xlfn.XLOOKUP(Table1[[#This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cm="1">
        <f t="array" ref="G443">IF(_xlfn.XLOOKUP(C443,customers!$A$1:$A$1001,customers!$C$1:$C$1001,_xleta.N/A,0)=0,"",_xlfn.XLOOKUP(C443,customers!$A$1:$A$1001,customers!$C$1:$C$1001,_xleta.N/A,0))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f t="shared" si="18"/>
        <v>36.450000000000003</v>
      </c>
      <c r="N443" t="str">
        <f t="shared" si="19"/>
        <v>Excelsa</v>
      </c>
      <c r="O443" t="str">
        <f t="shared" si="20"/>
        <v>Dark</v>
      </c>
      <c r="P443" t="str">
        <f>_xlfn.XLOOKUP(Table1[[#This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cm="1">
        <f t="array" ref="G444">IF(_xlfn.XLOOKUP(C444,customers!$A$1:$A$1001,customers!$C$1:$C$1001,_xleta.N/A,0)=0,"",_xlfn.XLOOKUP(C444,customers!$A$1:$A$1001,customers!$C$1:$C$1001,_xleta.N/A,0))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f t="shared" si="18"/>
        <v>35.849999999999994</v>
      </c>
      <c r="N444" t="str">
        <f t="shared" si="19"/>
        <v>Robusta</v>
      </c>
      <c r="O444" t="str">
        <f t="shared" si="20"/>
        <v>Large</v>
      </c>
      <c r="P444" t="str">
        <f>_xlfn.XLOOKUP(Table1[[#This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cm="1">
        <f t="array" ref="G445">IF(_xlfn.XLOOKUP(C445,customers!$A$1:$A$1001,customers!$C$1:$C$1001,_xleta.N/A,0)=0,"",_xlfn.XLOOKUP(C445,customers!$A$1:$A$1001,customers!$C$1:$C$1001,_xleta.N/A,0))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f t="shared" si="18"/>
        <v>22.274999999999999</v>
      </c>
      <c r="N445" t="str">
        <f t="shared" si="19"/>
        <v>Excelsa</v>
      </c>
      <c r="O445" t="str">
        <f t="shared" si="20"/>
        <v>Large</v>
      </c>
      <c r="P445" t="str">
        <f>_xlfn.XLOOKUP(Table1[[#This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cm="1">
        <f t="array" ref="G446">IF(_xlfn.XLOOKUP(C446,customers!$A$1:$A$1001,customers!$C$1:$C$1001,_xleta.N/A,0)=0,"",_xlfn.XLOOKUP(C446,customers!$A$1:$A$1001,customers!$C$1:$C$1001,_xleta.N/A,0))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f t="shared" si="18"/>
        <v>24.75</v>
      </c>
      <c r="N446" t="str">
        <f t="shared" si="19"/>
        <v>Excelsa</v>
      </c>
      <c r="O446" t="str">
        <f t="shared" si="20"/>
        <v>Medium</v>
      </c>
      <c r="P446" t="str">
        <f>_xlfn.XLOOKUP(Table1[[#This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cm="1">
        <f t="array" ref="G447">IF(_xlfn.XLOOKUP(C447,customers!$A$1:$A$1001,customers!$C$1:$C$1001,_xleta.N/A,0)=0,"",_xlfn.XLOOKUP(C447,customers!$A$1:$A$1001,customers!$C$1:$C$1001,_xleta.N/A,0))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f t="shared" si="18"/>
        <v>66.929999999999993</v>
      </c>
      <c r="N447" t="str">
        <f t="shared" si="19"/>
        <v>Liberica</v>
      </c>
      <c r="O447" t="str">
        <f t="shared" si="20"/>
        <v>Medium</v>
      </c>
      <c r="P447" t="str">
        <f>_xlfn.XLOOKUP(Table1[[#This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cm="1">
        <f t="array" ref="G448">IF(_xlfn.XLOOKUP(C448,customers!$A$1:$A$1001,customers!$C$1:$C$1001,_xleta.N/A,0)=0,"",_xlfn.XLOOKUP(C448,customers!$A$1:$A$1001,customers!$C$1:$C$1001,_xleta.N/A,0))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f t="shared" si="18"/>
        <v>8.73</v>
      </c>
      <c r="N448" t="str">
        <f t="shared" si="19"/>
        <v>Liberica</v>
      </c>
      <c r="O448" t="str">
        <f t="shared" si="20"/>
        <v>Medium</v>
      </c>
      <c r="P448" t="str">
        <f>_xlfn.XLOOKUP(Table1[[#This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cm="1">
        <f t="array" ref="G449">IF(_xlfn.XLOOKUP(C449,customers!$A$1:$A$1001,customers!$C$1:$C$1001,_xleta.N/A,0)=0,"",_xlfn.XLOOKUP(C449,customers!$A$1:$A$1001,customers!$C$1:$C$1001,_xleta.N/A,0))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f t="shared" si="18"/>
        <v>17.91</v>
      </c>
      <c r="N449" t="str">
        <f t="shared" si="19"/>
        <v>Robusta</v>
      </c>
      <c r="O449" t="str">
        <f t="shared" si="20"/>
        <v>Medium</v>
      </c>
      <c r="P449" t="str">
        <f>_xlfn.XLOOKUP(Table1[[#This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cm="1">
        <f t="array" ref="G450">IF(_xlfn.XLOOKUP(C450,customers!$A$1:$A$1001,customers!$C$1:$C$1001,_xleta.N/A,0)=0,"",_xlfn.XLOOKUP(C450,customers!$A$1:$A$1001,customers!$C$1:$C$1001,_xleta.N/A,0))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f t="shared" si="18"/>
        <v>7.169999999999999</v>
      </c>
      <c r="N450" t="str">
        <f t="shared" si="19"/>
        <v>Robusta</v>
      </c>
      <c r="O450" t="str">
        <f t="shared" si="20"/>
        <v>Large</v>
      </c>
      <c r="P450" t="str">
        <f>_xlfn.XLOOKUP(Table1[[#This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cm="1">
        <f t="array" ref="G451">IF(_xlfn.XLOOKUP(C451,customers!$A$1:$A$1001,customers!$C$1:$C$1001,_xleta.N/A,0)=0,"",_xlfn.XLOOKUP(C451,customers!$A$1:$A$1001,customers!$C$1:$C$1001,_xleta.N/A,0))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_xlfn.XLOOKUP(Table1[[#This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cm="1">
        <f t="array" ref="G452">IF(_xlfn.XLOOKUP(C452,customers!$A$1:$A$1001,customers!$C$1:$C$1001,_xleta.N/A,0)=0,"",_xlfn.XLOOKUP(C452,customers!$A$1:$A$1001,customers!$C$1:$C$1001,_xleta.N/A,0))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f t="shared" si="21"/>
        <v>23.774999999999999</v>
      </c>
      <c r="N452" t="str">
        <f t="shared" si="22"/>
        <v>Liberica</v>
      </c>
      <c r="O452" t="str">
        <f t="shared" si="23"/>
        <v>Large</v>
      </c>
      <c r="P452" t="str">
        <f>_xlfn.XLOOKUP(Table1[[#This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cm="1">
        <f t="array" ref="G453">IF(_xlfn.XLOOKUP(C453,customers!$A$1:$A$1001,customers!$C$1:$C$1001,_xleta.N/A,0)=0,"",_xlfn.XLOOKUP(C453,customers!$A$1:$A$1001,customers!$C$1:$C$1001,_xleta.N/A,0))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f t="shared" si="21"/>
        <v>41.169999999999995</v>
      </c>
      <c r="N453" t="str">
        <f t="shared" si="22"/>
        <v>Robusta</v>
      </c>
      <c r="O453" t="str">
        <f t="shared" si="23"/>
        <v>Dark</v>
      </c>
      <c r="P453" t="str">
        <f>_xlfn.XLOOKUP(Table1[[#This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cm="1">
        <f t="array" ref="G454">IF(_xlfn.XLOOKUP(C454,customers!$A$1:$A$1001,customers!$C$1:$C$1001,_xleta.N/A,0)=0,"",_xlfn.XLOOKUP(C454,customers!$A$1:$A$1001,customers!$C$1:$C$1001,_xleta.N/A,0))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f t="shared" si="21"/>
        <v>11.654999999999999</v>
      </c>
      <c r="N454" t="str">
        <f t="shared" si="22"/>
        <v>Arabica</v>
      </c>
      <c r="O454" t="str">
        <f t="shared" si="23"/>
        <v>Large</v>
      </c>
      <c r="P454" t="str">
        <f>_xlfn.XLOOKUP(Table1[[#This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cm="1">
        <f t="array" ref="G455">IF(_xlfn.XLOOKUP(C455,customers!$A$1:$A$1001,customers!$C$1:$C$1001,_xleta.N/A,0)=0,"",_xlfn.XLOOKUP(C455,customers!$A$1:$A$1001,customers!$C$1:$C$1001,_xleta.N/A,0))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f t="shared" si="21"/>
        <v>38.04</v>
      </c>
      <c r="N455" t="str">
        <f t="shared" si="22"/>
        <v>Liberica</v>
      </c>
      <c r="O455" t="str">
        <f t="shared" si="23"/>
        <v>Large</v>
      </c>
      <c r="P455" t="str">
        <f>_xlfn.XLOOKUP(Table1[[#This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cm="1">
        <f t="array" ref="G456">IF(_xlfn.XLOOKUP(C456,customers!$A$1:$A$1001,customers!$C$1:$C$1001,_xleta.N/A,0)=0,"",_xlfn.XLOOKUP(C456,customers!$A$1:$A$1001,customers!$C$1:$C$1001,_xleta.N/A,0))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f t="shared" si="21"/>
        <v>82.339999999999989</v>
      </c>
      <c r="N456" t="str">
        <f t="shared" si="22"/>
        <v>Robusta</v>
      </c>
      <c r="O456" t="str">
        <f t="shared" si="23"/>
        <v>Dark</v>
      </c>
      <c r="P456" t="str">
        <f>_xlfn.XLOOKUP(Table1[[#This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cm="1">
        <f t="array" ref="G457">IF(_xlfn.XLOOKUP(C457,customers!$A$1:$A$1001,customers!$C$1:$C$1001,_xleta.N/A,0)=0,"",_xlfn.XLOOKUP(C457,customers!$A$1:$A$1001,customers!$C$1:$C$1001,_xleta.N/A,0))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f t="shared" si="21"/>
        <v>9.51</v>
      </c>
      <c r="N457" t="str">
        <f t="shared" si="22"/>
        <v>Liberica</v>
      </c>
      <c r="O457" t="str">
        <f t="shared" si="23"/>
        <v>Large</v>
      </c>
      <c r="P457" t="str">
        <f>_xlfn.XLOOKUP(Table1[[#This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cm="1">
        <f t="array" ref="G458">IF(_xlfn.XLOOKUP(C458,customers!$A$1:$A$1001,customers!$C$1:$C$1001,_xleta.N/A,0)=0,"",_xlfn.XLOOKUP(C458,customers!$A$1:$A$1001,customers!$C$1:$C$1001,_xleta.N/A,0))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f t="shared" si="21"/>
        <v>41.169999999999995</v>
      </c>
      <c r="N458" t="str">
        <f t="shared" si="22"/>
        <v>Robusta</v>
      </c>
      <c r="O458" t="str">
        <f t="shared" si="23"/>
        <v>Dark</v>
      </c>
      <c r="P458" t="str">
        <f>_xlfn.XLOOKUP(Table1[[#This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cm="1">
        <f t="array" ref="G459">IF(_xlfn.XLOOKUP(C459,customers!$A$1:$A$1001,customers!$C$1:$C$1001,_xleta.N/A,0)=0,"",_xlfn.XLOOKUP(C459,customers!$A$1:$A$1001,customers!$C$1:$C$1001,_xleta.N/A,0))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f t="shared" si="21"/>
        <v>47.55</v>
      </c>
      <c r="N459" t="str">
        <f t="shared" si="22"/>
        <v>Liberica</v>
      </c>
      <c r="O459" t="str">
        <f t="shared" si="23"/>
        <v>Large</v>
      </c>
      <c r="P459" t="str">
        <f>_xlfn.XLOOKUP(Table1[[#This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cm="1">
        <f t="array" ref="G460">IF(_xlfn.XLOOKUP(C460,customers!$A$1:$A$1001,customers!$C$1:$C$1001,_xleta.N/A,0)=0,"",_xlfn.XLOOKUP(C460,customers!$A$1:$A$1001,customers!$C$1:$C$1001,_xleta.N/A,0))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f t="shared" si="21"/>
        <v>45</v>
      </c>
      <c r="N460" t="str">
        <f t="shared" si="22"/>
        <v>Arabica</v>
      </c>
      <c r="O460" t="str">
        <f t="shared" si="23"/>
        <v>Medium</v>
      </c>
      <c r="P460" t="str">
        <f>_xlfn.XLOOKUP(Table1[[#This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cm="1">
        <f t="array" ref="G461">IF(_xlfn.XLOOKUP(C461,customers!$A$1:$A$1001,customers!$C$1:$C$1001,_xleta.N/A,0)=0,"",_xlfn.XLOOKUP(C461,customers!$A$1:$A$1001,customers!$C$1:$C$1001,_xleta.N/A,0))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f t="shared" si="21"/>
        <v>23.774999999999999</v>
      </c>
      <c r="N461" t="str">
        <f t="shared" si="22"/>
        <v>Liberica</v>
      </c>
      <c r="O461" t="str">
        <f t="shared" si="23"/>
        <v>Large</v>
      </c>
      <c r="P461" t="str">
        <f>_xlfn.XLOOKUP(Table1[[#This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cm="1">
        <f t="array" ref="G462">IF(_xlfn.XLOOKUP(C462,customers!$A$1:$A$1001,customers!$C$1:$C$1001,_xleta.N/A,0)=0,"",_xlfn.XLOOKUP(C462,customers!$A$1:$A$1001,customers!$C$1:$C$1001,_xleta.N/A,0))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f t="shared" si="21"/>
        <v>16.11</v>
      </c>
      <c r="N462" t="str">
        <f t="shared" si="22"/>
        <v>Robusta</v>
      </c>
      <c r="O462" t="str">
        <f t="shared" si="23"/>
        <v>Dark</v>
      </c>
      <c r="P462" t="str">
        <f>_xlfn.XLOOKUP(Table1[[#This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cm="1">
        <f t="array" ref="G463">IF(_xlfn.XLOOKUP(C463,customers!$A$1:$A$1001,customers!$C$1:$C$1001,_xleta.N/A,0)=0,"",_xlfn.XLOOKUP(C463,customers!$A$1:$A$1001,customers!$C$1:$C$1001,_xleta.N/A,0))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f t="shared" si="21"/>
        <v>10.739999999999998</v>
      </c>
      <c r="N463" t="str">
        <f t="shared" si="22"/>
        <v>Robusta</v>
      </c>
      <c r="O463" t="str">
        <f t="shared" si="23"/>
        <v>Dark</v>
      </c>
      <c r="P463" t="str">
        <f>_xlfn.XLOOKUP(Table1[[#This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cm="1">
        <f t="array" ref="G464">IF(_xlfn.XLOOKUP(C464,customers!$A$1:$A$1001,customers!$C$1:$C$1001,_xleta.N/A,0)=0,"",_xlfn.XLOOKUP(C464,customers!$A$1:$A$1001,customers!$C$1:$C$1001,_xleta.N/A,0))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f t="shared" si="21"/>
        <v>49.75</v>
      </c>
      <c r="N464" t="str">
        <f t="shared" si="22"/>
        <v>Arabica</v>
      </c>
      <c r="O464" t="str">
        <f t="shared" si="23"/>
        <v>Dark</v>
      </c>
      <c r="P464" t="str">
        <f>_xlfn.XLOOKUP(Table1[[#This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cm="1">
        <f t="array" ref="G465">IF(_xlfn.XLOOKUP(C465,customers!$A$1:$A$1001,customers!$C$1:$C$1001,_xleta.N/A,0)=0,"",_xlfn.XLOOKUP(C465,customers!$A$1:$A$1001,customers!$C$1:$C$1001,_xleta.N/A,0))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f t="shared" si="21"/>
        <v>27.5</v>
      </c>
      <c r="N465" t="str">
        <f t="shared" si="22"/>
        <v>Excelsa</v>
      </c>
      <c r="O465" t="str">
        <f t="shared" si="23"/>
        <v>Medium</v>
      </c>
      <c r="P465" t="str">
        <f>_xlfn.XLOOKUP(Table1[[#This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cm="1">
        <f t="array" ref="G466">IF(_xlfn.XLOOKUP(C466,customers!$A$1:$A$1001,customers!$C$1:$C$1001,_xleta.N/A,0)=0,"",_xlfn.XLOOKUP(C466,customers!$A$1:$A$1001,customers!$C$1:$C$1001,_xleta.N/A,0))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f t="shared" si="21"/>
        <v>119.13999999999999</v>
      </c>
      <c r="N466" t="str">
        <f t="shared" si="22"/>
        <v>Liberica</v>
      </c>
      <c r="O466" t="str">
        <f t="shared" si="23"/>
        <v>Dark</v>
      </c>
      <c r="P466" t="str">
        <f>_xlfn.XLOOKUP(Table1[[#This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cm="1">
        <f t="array" ref="G467">IF(_xlfn.XLOOKUP(C467,customers!$A$1:$A$1001,customers!$C$1:$C$1001,_xleta.N/A,0)=0,"",_xlfn.XLOOKUP(C467,customers!$A$1:$A$1001,customers!$C$1:$C$1001,_xleta.N/A,0))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f t="shared" si="21"/>
        <v>20.584999999999997</v>
      </c>
      <c r="N467" t="str">
        <f t="shared" si="22"/>
        <v>Robusta</v>
      </c>
      <c r="O467" t="str">
        <f t="shared" si="23"/>
        <v>Dark</v>
      </c>
      <c r="P467" t="str">
        <f>_xlfn.XLOOKUP(Table1[[#This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cm="1">
        <f t="array" ref="G468">IF(_xlfn.XLOOKUP(C468,customers!$A$1:$A$1001,customers!$C$1:$C$1001,_xleta.N/A,0)=0,"",_xlfn.XLOOKUP(C468,customers!$A$1:$A$1001,customers!$C$1:$C$1001,_xleta.N/A,0))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f t="shared" si="21"/>
        <v>8.9550000000000001</v>
      </c>
      <c r="N468" t="str">
        <f t="shared" si="22"/>
        <v>Arabica</v>
      </c>
      <c r="O468" t="str">
        <f t="shared" si="23"/>
        <v>Dark</v>
      </c>
      <c r="P468" t="str">
        <f>_xlfn.XLOOKUP(Table1[[#This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cm="1">
        <f t="array" ref="G469">IF(_xlfn.XLOOKUP(C469,customers!$A$1:$A$1001,customers!$C$1:$C$1001,_xleta.N/A,0)=0,"",_xlfn.XLOOKUP(C469,customers!$A$1:$A$1001,customers!$C$1:$C$1001,_xleta.N/A,0))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f t="shared" si="21"/>
        <v>5.97</v>
      </c>
      <c r="N469" t="str">
        <f t="shared" si="22"/>
        <v>Arabica</v>
      </c>
      <c r="O469" t="str">
        <f t="shared" si="23"/>
        <v>Dark</v>
      </c>
      <c r="P469" t="str">
        <f>_xlfn.XLOOKUP(Table1[[#This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cm="1">
        <f t="array" ref="G470">IF(_xlfn.XLOOKUP(C470,customers!$A$1:$A$1001,customers!$C$1:$C$1001,_xleta.N/A,0)=0,"",_xlfn.XLOOKUP(C470,customers!$A$1:$A$1001,customers!$C$1:$C$1001,_xleta.N/A,0))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f t="shared" si="21"/>
        <v>41.25</v>
      </c>
      <c r="N470" t="str">
        <f t="shared" si="22"/>
        <v>Excelsa</v>
      </c>
      <c r="O470" t="str">
        <f t="shared" si="23"/>
        <v>Medium</v>
      </c>
      <c r="P470" t="str">
        <f>_xlfn.XLOOKUP(Table1[[#This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cm="1">
        <f t="array" ref="G471">IF(_xlfn.XLOOKUP(C471,customers!$A$1:$A$1001,customers!$C$1:$C$1001,_xleta.N/A,0)=0,"",_xlfn.XLOOKUP(C471,customers!$A$1:$A$1001,customers!$C$1:$C$1001,_xleta.N/A,0))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f t="shared" si="21"/>
        <v>22.274999999999999</v>
      </c>
      <c r="N471" t="str">
        <f t="shared" si="22"/>
        <v>Excelsa</v>
      </c>
      <c r="O471" t="str">
        <f t="shared" si="23"/>
        <v>Large</v>
      </c>
      <c r="P471" t="str">
        <f>_xlfn.XLOOKUP(Table1[[#This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cm="1">
        <f t="array" ref="G472">IF(_xlfn.XLOOKUP(C472,customers!$A$1:$A$1001,customers!$C$1:$C$1001,_xleta.N/A,0)=0,"",_xlfn.XLOOKUP(C472,customers!$A$1:$A$1001,customers!$C$1:$C$1001,_xleta.N/A,0))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f t="shared" si="21"/>
        <v>6.75</v>
      </c>
      <c r="N472" t="str">
        <f t="shared" si="22"/>
        <v>Arabica</v>
      </c>
      <c r="O472" t="str">
        <f t="shared" si="23"/>
        <v>Medium</v>
      </c>
      <c r="P472" t="str">
        <f>_xlfn.XLOOKUP(Table1[[#This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cm="1">
        <f t="array" ref="G473">IF(_xlfn.XLOOKUP(C473,customers!$A$1:$A$1001,customers!$C$1:$C$1001,_xleta.N/A,0)=0,"",_xlfn.XLOOKUP(C473,customers!$A$1:$A$1001,customers!$C$1:$C$1001,_xleta.N/A,0))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f t="shared" si="21"/>
        <v>133.85999999999999</v>
      </c>
      <c r="N473" t="str">
        <f t="shared" si="22"/>
        <v>Liberica</v>
      </c>
      <c r="O473" t="str">
        <f t="shared" si="23"/>
        <v>Medium</v>
      </c>
      <c r="P473" t="str">
        <f>_xlfn.XLOOKUP(Table1[[#This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cm="1">
        <f t="array" ref="G474">IF(_xlfn.XLOOKUP(C474,customers!$A$1:$A$1001,customers!$C$1:$C$1001,_xleta.N/A,0)=0,"",_xlfn.XLOOKUP(C474,customers!$A$1:$A$1001,customers!$C$1:$C$1001,_xleta.N/A,0))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f t="shared" si="21"/>
        <v>5.97</v>
      </c>
      <c r="N474" t="str">
        <f t="shared" si="22"/>
        <v>Arabica</v>
      </c>
      <c r="O474" t="str">
        <f t="shared" si="23"/>
        <v>Dark</v>
      </c>
      <c r="P474" t="str">
        <f>_xlfn.XLOOKUP(Table1[[#This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cm="1">
        <f t="array" ref="G475">IF(_xlfn.XLOOKUP(C475,customers!$A$1:$A$1001,customers!$C$1:$C$1001,_xleta.N/A,0)=0,"",_xlfn.XLOOKUP(C475,customers!$A$1:$A$1001,customers!$C$1:$C$1001,_xleta.N/A,0))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f t="shared" si="21"/>
        <v>25.9</v>
      </c>
      <c r="N475" t="str">
        <f t="shared" si="22"/>
        <v>Arabica</v>
      </c>
      <c r="O475" t="str">
        <f t="shared" si="23"/>
        <v>Large</v>
      </c>
      <c r="P475" t="str">
        <f>_xlfn.XLOOKUP(Table1[[#This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cm="1">
        <f t="array" ref="G476">IF(_xlfn.XLOOKUP(C476,customers!$A$1:$A$1001,customers!$C$1:$C$1001,_xleta.N/A,0)=0,"",_xlfn.XLOOKUP(C476,customers!$A$1:$A$1001,customers!$C$1:$C$1001,_xleta.N/A,0))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f t="shared" si="21"/>
        <v>31.624999999999996</v>
      </c>
      <c r="N476" t="str">
        <f t="shared" si="22"/>
        <v>Excelsa</v>
      </c>
      <c r="O476" t="str">
        <f t="shared" si="23"/>
        <v>Medium</v>
      </c>
      <c r="P476" t="str">
        <f>_xlfn.XLOOKUP(Table1[[#This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cm="1">
        <f t="array" ref="G477">IF(_xlfn.XLOOKUP(C477,customers!$A$1:$A$1001,customers!$C$1:$C$1001,_xleta.N/A,0)=0,"",_xlfn.XLOOKUP(C477,customers!$A$1:$A$1001,customers!$C$1:$C$1001,_xleta.N/A,0))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f t="shared" si="21"/>
        <v>8.73</v>
      </c>
      <c r="N477" t="str">
        <f t="shared" si="22"/>
        <v>Liberica</v>
      </c>
      <c r="O477" t="str">
        <f t="shared" si="23"/>
        <v>Medium</v>
      </c>
      <c r="P477" t="str">
        <f>_xlfn.XLOOKUP(Table1[[#This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cm="1">
        <f t="array" ref="G478">IF(_xlfn.XLOOKUP(C478,customers!$A$1:$A$1001,customers!$C$1:$C$1001,_xleta.N/A,0)=0,"",_xlfn.XLOOKUP(C478,customers!$A$1:$A$1001,customers!$C$1:$C$1001,_xleta.N/A,0))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f t="shared" si="21"/>
        <v>26.73</v>
      </c>
      <c r="N478" t="str">
        <f t="shared" si="22"/>
        <v>Excelsa</v>
      </c>
      <c r="O478" t="str">
        <f t="shared" si="23"/>
        <v>Large</v>
      </c>
      <c r="P478" t="str">
        <f>_xlfn.XLOOKUP(Table1[[#This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cm="1">
        <f t="array" ref="G479">IF(_xlfn.XLOOKUP(C479,customers!$A$1:$A$1001,customers!$C$1:$C$1001,_xleta.N/A,0)=0,"",_xlfn.XLOOKUP(C479,customers!$A$1:$A$1001,customers!$C$1:$C$1001,_xleta.N/A,0))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f t="shared" si="21"/>
        <v>26.19</v>
      </c>
      <c r="N479" t="str">
        <f t="shared" si="22"/>
        <v>Liberica</v>
      </c>
      <c r="O479" t="str">
        <f t="shared" si="23"/>
        <v>Medium</v>
      </c>
      <c r="P479" t="str">
        <f>_xlfn.XLOOKUP(Table1[[#This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cm="1">
        <f t="array" ref="G480">IF(_xlfn.XLOOKUP(C480,customers!$A$1:$A$1001,customers!$C$1:$C$1001,_xleta.N/A,0)=0,"",_xlfn.XLOOKUP(C480,customers!$A$1:$A$1001,customers!$C$1:$C$1001,_xleta.N/A,0))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f t="shared" si="21"/>
        <v>53.699999999999996</v>
      </c>
      <c r="N480" t="str">
        <f t="shared" si="22"/>
        <v>Robusta</v>
      </c>
      <c r="O480" t="str">
        <f t="shared" si="23"/>
        <v>Dark</v>
      </c>
      <c r="P480" t="str">
        <f>_xlfn.XLOOKUP(Table1[[#This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cm="1">
        <f t="array" ref="G481">IF(_xlfn.XLOOKUP(C481,customers!$A$1:$A$1001,customers!$C$1:$C$1001,_xleta.N/A,0)=0,"",_xlfn.XLOOKUP(C481,customers!$A$1:$A$1001,customers!$C$1:$C$1001,_xleta.N/A,0))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f t="shared" si="21"/>
        <v>126.49999999999999</v>
      </c>
      <c r="N481" t="str">
        <f t="shared" si="22"/>
        <v>Excelsa</v>
      </c>
      <c r="O481" t="str">
        <f t="shared" si="23"/>
        <v>Medium</v>
      </c>
      <c r="P481" t="str">
        <f>_xlfn.XLOOKUP(Table1[[#This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cm="1">
        <f t="array" ref="G482">IF(_xlfn.XLOOKUP(C482,customers!$A$1:$A$1001,customers!$C$1:$C$1001,_xleta.N/A,0)=0,"",_xlfn.XLOOKUP(C482,customers!$A$1:$A$1001,customers!$C$1:$C$1001,_xleta.N/A,0))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f t="shared" si="21"/>
        <v>4.125</v>
      </c>
      <c r="N482" t="str">
        <f t="shared" si="22"/>
        <v>Excelsa</v>
      </c>
      <c r="O482" t="str">
        <f t="shared" si="23"/>
        <v>Medium</v>
      </c>
      <c r="P482" t="str">
        <f>_xlfn.XLOOKUP(Table1[[#This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cm="1">
        <f t="array" ref="G483">IF(_xlfn.XLOOKUP(C483,customers!$A$1:$A$1001,customers!$C$1:$C$1001,_xleta.N/A,0)=0,"",_xlfn.XLOOKUP(C483,customers!$A$1:$A$1001,customers!$C$1:$C$1001,_xleta.N/A,0))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f t="shared" si="21"/>
        <v>23.9</v>
      </c>
      <c r="N483" t="str">
        <f t="shared" si="22"/>
        <v>Robusta</v>
      </c>
      <c r="O483" t="str">
        <f t="shared" si="23"/>
        <v>Large</v>
      </c>
      <c r="P483" t="str">
        <f>_xlfn.XLOOKUP(Table1[[#This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cm="1">
        <f t="array" ref="G484">IF(_xlfn.XLOOKUP(C484,customers!$A$1:$A$1001,customers!$C$1:$C$1001,_xleta.N/A,0)=0,"",_xlfn.XLOOKUP(C484,customers!$A$1:$A$1001,customers!$C$1:$C$1001,_xleta.N/A,0))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f t="shared" si="21"/>
        <v>139.72499999999999</v>
      </c>
      <c r="N484" t="str">
        <f t="shared" si="22"/>
        <v>Excelsa</v>
      </c>
      <c r="O484" t="str">
        <f t="shared" si="23"/>
        <v>Dark</v>
      </c>
      <c r="P484" t="str">
        <f>_xlfn.XLOOKUP(Table1[[#This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cm="1">
        <f t="array" ref="G485">IF(_xlfn.XLOOKUP(C485,customers!$A$1:$A$1001,customers!$C$1:$C$1001,_xleta.N/A,0)=0,"",_xlfn.XLOOKUP(C485,customers!$A$1:$A$1001,customers!$C$1:$C$1001,_xleta.N/A,0))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f t="shared" si="21"/>
        <v>59.569999999999993</v>
      </c>
      <c r="N485" t="str">
        <f t="shared" si="22"/>
        <v>Liberica</v>
      </c>
      <c r="O485" t="str">
        <f t="shared" si="23"/>
        <v>Dark</v>
      </c>
      <c r="P485" t="str">
        <f>_xlfn.XLOOKUP(Table1[[#This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cm="1">
        <f t="array" ref="G486">IF(_xlfn.XLOOKUP(C486,customers!$A$1:$A$1001,customers!$C$1:$C$1001,_xleta.N/A,0)=0,"",_xlfn.XLOOKUP(C486,customers!$A$1:$A$1001,customers!$C$1:$C$1001,_xleta.N/A,0))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f t="shared" si="21"/>
        <v>57.06</v>
      </c>
      <c r="N486" t="str">
        <f t="shared" si="22"/>
        <v>Liberica</v>
      </c>
      <c r="O486" t="str">
        <f t="shared" si="23"/>
        <v>Large</v>
      </c>
      <c r="P486" t="str">
        <f>_xlfn.XLOOKUP(Table1[[#This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cm="1">
        <f t="array" ref="G487">IF(_xlfn.XLOOKUP(C487,customers!$A$1:$A$1001,customers!$C$1:$C$1001,_xleta.N/A,0)=0,"",_xlfn.XLOOKUP(C487,customers!$A$1:$A$1001,customers!$C$1:$C$1001,_xleta.N/A,0))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f t="shared" si="21"/>
        <v>21.509999999999998</v>
      </c>
      <c r="N487" t="str">
        <f t="shared" si="22"/>
        <v>Robusta</v>
      </c>
      <c r="O487" t="str">
        <f t="shared" si="23"/>
        <v>Large</v>
      </c>
      <c r="P487" t="str">
        <f>_xlfn.XLOOKUP(Table1[[#This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cm="1">
        <f t="array" ref="G488">IF(_xlfn.XLOOKUP(C488,customers!$A$1:$A$1001,customers!$C$1:$C$1001,_xleta.N/A,0)=0,"",_xlfn.XLOOKUP(C488,customers!$A$1:$A$1001,customers!$C$1:$C$1001,_xleta.N/A,0))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f t="shared" si="21"/>
        <v>52.38</v>
      </c>
      <c r="N488" t="str">
        <f t="shared" si="22"/>
        <v>Liberica</v>
      </c>
      <c r="O488" t="str">
        <f t="shared" si="23"/>
        <v>Medium</v>
      </c>
      <c r="P488" t="str">
        <f>_xlfn.XLOOKUP(Table1[[#This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cm="1">
        <f t="array" ref="G489">IF(_xlfn.XLOOKUP(C489,customers!$A$1:$A$1001,customers!$C$1:$C$1001,_xleta.N/A,0)=0,"",_xlfn.XLOOKUP(C489,customers!$A$1:$A$1001,customers!$C$1:$C$1001,_xleta.N/A,0))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f t="shared" si="21"/>
        <v>72.900000000000006</v>
      </c>
      <c r="N489" t="str">
        <f t="shared" si="22"/>
        <v>Excelsa</v>
      </c>
      <c r="O489" t="str">
        <f t="shared" si="23"/>
        <v>Dark</v>
      </c>
      <c r="P489" t="str">
        <f>_xlfn.XLOOKUP(Table1[[#This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cm="1">
        <f t="array" ref="G490">IF(_xlfn.XLOOKUP(C490,customers!$A$1:$A$1001,customers!$C$1:$C$1001,_xleta.N/A,0)=0,"",_xlfn.XLOOKUP(C490,customers!$A$1:$A$1001,customers!$C$1:$C$1001,_xleta.N/A,0))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f t="shared" si="21"/>
        <v>14.924999999999999</v>
      </c>
      <c r="N490" t="str">
        <f t="shared" si="22"/>
        <v>Robusta</v>
      </c>
      <c r="O490" t="str">
        <f t="shared" si="23"/>
        <v>Medium</v>
      </c>
      <c r="P490" t="str">
        <f>_xlfn.XLOOKUP(Table1[[#This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cm="1">
        <f t="array" ref="G491">IF(_xlfn.XLOOKUP(C491,customers!$A$1:$A$1001,customers!$C$1:$C$1001,_xleta.N/A,0)=0,"",_xlfn.XLOOKUP(C491,customers!$A$1:$A$1001,customers!$C$1:$C$1001,_xleta.N/A,0))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f t="shared" si="21"/>
        <v>95.1</v>
      </c>
      <c r="N491" t="str">
        <f t="shared" si="22"/>
        <v>Liberica</v>
      </c>
      <c r="O491" t="str">
        <f t="shared" si="23"/>
        <v>Large</v>
      </c>
      <c r="P491" t="str">
        <f>_xlfn.XLOOKUP(Table1[[#This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cm="1">
        <f t="array" ref="G492">IF(_xlfn.XLOOKUP(C492,customers!$A$1:$A$1001,customers!$C$1:$C$1001,_xleta.N/A,0)=0,"",_xlfn.XLOOKUP(C492,customers!$A$1:$A$1001,customers!$C$1:$C$1001,_xleta.N/A,0))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f t="shared" si="21"/>
        <v>15.54</v>
      </c>
      <c r="N492" t="str">
        <f t="shared" si="22"/>
        <v>Liberica</v>
      </c>
      <c r="O492" t="str">
        <f t="shared" si="23"/>
        <v>Dark</v>
      </c>
      <c r="P492" t="str">
        <f>_xlfn.XLOOKUP(Table1[[#This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cm="1">
        <f t="array" ref="G493">IF(_xlfn.XLOOKUP(C493,customers!$A$1:$A$1001,customers!$C$1:$C$1001,_xleta.N/A,0)=0,"",_xlfn.XLOOKUP(C493,customers!$A$1:$A$1001,customers!$C$1:$C$1001,_xleta.N/A,0))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f t="shared" si="21"/>
        <v>23.31</v>
      </c>
      <c r="N493" t="str">
        <f t="shared" si="22"/>
        <v>Liberica</v>
      </c>
      <c r="O493" t="str">
        <f t="shared" si="23"/>
        <v>Dark</v>
      </c>
      <c r="P493" t="str">
        <f>_xlfn.XLOOKUP(Table1[[#This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cm="1">
        <f t="array" ref="G494">IF(_xlfn.XLOOKUP(C494,customers!$A$1:$A$1001,customers!$C$1:$C$1001,_xleta.N/A,0)=0,"",_xlfn.XLOOKUP(C494,customers!$A$1:$A$1001,customers!$C$1:$C$1001,_xleta.N/A,0))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f t="shared" si="21"/>
        <v>4.125</v>
      </c>
      <c r="N494" t="str">
        <f t="shared" si="22"/>
        <v>Excelsa</v>
      </c>
      <c r="O494" t="str">
        <f t="shared" si="23"/>
        <v>Medium</v>
      </c>
      <c r="P494" t="str">
        <f>_xlfn.XLOOKUP(Table1[[#This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cm="1">
        <f t="array" ref="G495">IF(_xlfn.XLOOKUP(C495,customers!$A$1:$A$1001,customers!$C$1:$C$1001,_xleta.N/A,0)=0,"",_xlfn.XLOOKUP(C495,customers!$A$1:$A$1001,customers!$C$1:$C$1001,_xleta.N/A,0))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f t="shared" si="21"/>
        <v>35.82</v>
      </c>
      <c r="N495" t="str">
        <f t="shared" si="22"/>
        <v>Robusta</v>
      </c>
      <c r="O495" t="str">
        <f t="shared" si="23"/>
        <v>Medium</v>
      </c>
      <c r="P495" t="str">
        <f>_xlfn.XLOOKUP(Table1[[#This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cm="1">
        <f t="array" ref="G496">IF(_xlfn.XLOOKUP(C496,customers!$A$1:$A$1001,customers!$C$1:$C$1001,_xleta.N/A,0)=0,"",_xlfn.XLOOKUP(C496,customers!$A$1:$A$1001,customers!$C$1:$C$1001,_xleta.N/A,0))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f t="shared" si="21"/>
        <v>31.7</v>
      </c>
      <c r="N496" t="str">
        <f t="shared" si="22"/>
        <v>Liberica</v>
      </c>
      <c r="O496" t="str">
        <f t="shared" si="23"/>
        <v>Large</v>
      </c>
      <c r="P496" t="str">
        <f>_xlfn.XLOOKUP(Table1[[#This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cm="1">
        <f t="array" ref="G497">IF(_xlfn.XLOOKUP(C497,customers!$A$1:$A$1001,customers!$C$1:$C$1001,_xleta.N/A,0)=0,"",_xlfn.XLOOKUP(C497,customers!$A$1:$A$1001,customers!$C$1:$C$1001,_xleta.N/A,0))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f t="shared" si="21"/>
        <v>79.25</v>
      </c>
      <c r="N497" t="str">
        <f t="shared" si="22"/>
        <v>Liberica</v>
      </c>
      <c r="O497" t="str">
        <f t="shared" si="23"/>
        <v>Large</v>
      </c>
      <c r="P497" t="str">
        <f>_xlfn.XLOOKUP(Table1[[#This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cm="1">
        <f t="array" ref="G498">IF(_xlfn.XLOOKUP(C498,customers!$A$1:$A$1001,customers!$C$1:$C$1001,_xleta.N/A,0)=0,"",_xlfn.XLOOKUP(C498,customers!$A$1:$A$1001,customers!$C$1:$C$1001,_xleta.N/A,0))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f t="shared" si="21"/>
        <v>10.935</v>
      </c>
      <c r="N498" t="str">
        <f t="shared" si="22"/>
        <v>Excelsa</v>
      </c>
      <c r="O498" t="str">
        <f t="shared" si="23"/>
        <v>Dark</v>
      </c>
      <c r="P498" t="str">
        <f>_xlfn.XLOOKUP(Table1[[#This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cm="1">
        <f t="array" ref="G499">IF(_xlfn.XLOOKUP(C499,customers!$A$1:$A$1001,customers!$C$1:$C$1001,_xleta.N/A,0)=0,"",_xlfn.XLOOKUP(C499,customers!$A$1:$A$1001,customers!$C$1:$C$1001,_xleta.N/A,0))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f t="shared" si="21"/>
        <v>39.799999999999997</v>
      </c>
      <c r="N499" t="str">
        <f t="shared" si="22"/>
        <v>Arabica</v>
      </c>
      <c r="O499" t="str">
        <f t="shared" si="23"/>
        <v>Dark</v>
      </c>
      <c r="P499" t="str">
        <f>_xlfn.XLOOKUP(Table1[[#This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cm="1">
        <f t="array" ref="G500">IF(_xlfn.XLOOKUP(C500,customers!$A$1:$A$1001,customers!$C$1:$C$1001,_xleta.N/A,0)=0,"",_xlfn.XLOOKUP(C500,customers!$A$1:$A$1001,customers!$C$1:$C$1001,_xleta.N/A,0))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f t="shared" si="21"/>
        <v>49.75</v>
      </c>
      <c r="N500" t="str">
        <f t="shared" si="22"/>
        <v>Robusta</v>
      </c>
      <c r="O500" t="str">
        <f t="shared" si="23"/>
        <v>Medium</v>
      </c>
      <c r="P500" t="str">
        <f>_xlfn.XLOOKUP(Table1[[#This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cm="1">
        <f t="array" ref="G501">IF(_xlfn.XLOOKUP(C501,customers!$A$1:$A$1001,customers!$C$1:$C$1001,_xleta.N/A,0)=0,"",_xlfn.XLOOKUP(C501,customers!$A$1:$A$1001,customers!$C$1:$C$1001,_xleta.N/A,0))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f t="shared" si="21"/>
        <v>8.0549999999999997</v>
      </c>
      <c r="N501" t="str">
        <f t="shared" si="22"/>
        <v>Robusta</v>
      </c>
      <c r="O501" t="str">
        <f t="shared" si="23"/>
        <v>Dark</v>
      </c>
      <c r="P501" t="str">
        <f>_xlfn.XLOOKUP(Table1[[#This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cm="1">
        <f t="array" ref="G502">IF(_xlfn.XLOOKUP(C502,customers!$A$1:$A$1001,customers!$C$1:$C$1001,_xleta.N/A,0)=0,"",_xlfn.XLOOKUP(C502,customers!$A$1:$A$1001,customers!$C$1:$C$1001,_xleta.N/A,0))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f t="shared" si="21"/>
        <v>47.8</v>
      </c>
      <c r="N502" t="str">
        <f t="shared" si="22"/>
        <v>Robusta</v>
      </c>
      <c r="O502" t="str">
        <f t="shared" si="23"/>
        <v>Large</v>
      </c>
      <c r="P502" t="str">
        <f>_xlfn.XLOOKUP(Table1[[#This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cm="1">
        <f t="array" ref="G503">IF(_xlfn.XLOOKUP(C503,customers!$A$1:$A$1001,customers!$C$1:$C$1001,_xleta.N/A,0)=0,"",_xlfn.XLOOKUP(C503,customers!$A$1:$A$1001,customers!$C$1:$C$1001,_xleta.N/A,0))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f t="shared" si="21"/>
        <v>11.94</v>
      </c>
      <c r="N503" t="str">
        <f t="shared" si="22"/>
        <v>Robusta</v>
      </c>
      <c r="O503" t="str">
        <f t="shared" si="23"/>
        <v>Medium</v>
      </c>
      <c r="P503" t="str">
        <f>_xlfn.XLOOKUP(Table1[[#This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cm="1">
        <f t="array" ref="G504">IF(_xlfn.XLOOKUP(C504,customers!$A$1:$A$1001,customers!$C$1:$C$1001,_xleta.N/A,0)=0,"",_xlfn.XLOOKUP(C504,customers!$A$1:$A$1001,customers!$C$1:$C$1001,_xleta.N/A,0))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f t="shared" si="21"/>
        <v>16.5</v>
      </c>
      <c r="N504" t="str">
        <f t="shared" si="22"/>
        <v>Excelsa</v>
      </c>
      <c r="O504" t="str">
        <f t="shared" si="23"/>
        <v>Medium</v>
      </c>
      <c r="P504" t="str">
        <f>_xlfn.XLOOKUP(Table1[[#This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cm="1">
        <f t="array" ref="G505">IF(_xlfn.XLOOKUP(C505,customers!$A$1:$A$1001,customers!$C$1:$C$1001,_xleta.N/A,0)=0,"",_xlfn.XLOOKUP(C505,customers!$A$1:$A$1001,customers!$C$1:$C$1001,_xleta.N/A,0))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f t="shared" si="21"/>
        <v>51.8</v>
      </c>
      <c r="N505" t="str">
        <f t="shared" si="22"/>
        <v>Liberica</v>
      </c>
      <c r="O505" t="str">
        <f t="shared" si="23"/>
        <v>Dark</v>
      </c>
      <c r="P505" t="str">
        <f>_xlfn.XLOOKUP(Table1[[#This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cm="1">
        <f t="array" ref="G506">IF(_xlfn.XLOOKUP(C506,customers!$A$1:$A$1001,customers!$C$1:$C$1001,_xleta.N/A,0)=0,"",_xlfn.XLOOKUP(C506,customers!$A$1:$A$1001,customers!$C$1:$C$1001,_xleta.N/A,0))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f t="shared" si="21"/>
        <v>14.265000000000001</v>
      </c>
      <c r="N506" t="str">
        <f t="shared" si="22"/>
        <v>Liberica</v>
      </c>
      <c r="O506" t="str">
        <f t="shared" si="23"/>
        <v>Large</v>
      </c>
      <c r="P506" t="str">
        <f>_xlfn.XLOOKUP(Table1[[#This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cm="1">
        <f t="array" ref="G507">IF(_xlfn.XLOOKUP(C507,customers!$A$1:$A$1001,customers!$C$1:$C$1001,_xleta.N/A,0)=0,"",_xlfn.XLOOKUP(C507,customers!$A$1:$A$1001,customers!$C$1:$C$1001,_xleta.N/A,0))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f t="shared" si="21"/>
        <v>26.19</v>
      </c>
      <c r="N507" t="str">
        <f t="shared" si="22"/>
        <v>Liberica</v>
      </c>
      <c r="O507" t="str">
        <f t="shared" si="23"/>
        <v>Medium</v>
      </c>
      <c r="P507" t="str">
        <f>_xlfn.XLOOKUP(Table1[[#This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cm="1">
        <f t="array" ref="G508">IF(_xlfn.XLOOKUP(C508,customers!$A$1:$A$1001,customers!$C$1:$C$1001,_xleta.N/A,0)=0,"",_xlfn.XLOOKUP(C508,customers!$A$1:$A$1001,customers!$C$1:$C$1001,_xleta.N/A,0))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f t="shared" si="21"/>
        <v>25.9</v>
      </c>
      <c r="N508" t="str">
        <f t="shared" si="22"/>
        <v>Arabica</v>
      </c>
      <c r="O508" t="str">
        <f t="shared" si="23"/>
        <v>Large</v>
      </c>
      <c r="P508" t="str">
        <f>_xlfn.XLOOKUP(Table1[[#This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cm="1">
        <f t="array" ref="G509">IF(_xlfn.XLOOKUP(C509,customers!$A$1:$A$1001,customers!$C$1:$C$1001,_xleta.N/A,0)=0,"",_xlfn.XLOOKUP(C509,customers!$A$1:$A$1001,customers!$C$1:$C$1001,_xleta.N/A,0))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f t="shared" si="21"/>
        <v>89.35499999999999</v>
      </c>
      <c r="N509" t="str">
        <f t="shared" si="22"/>
        <v>Arabica</v>
      </c>
      <c r="O509" t="str">
        <f t="shared" si="23"/>
        <v>Large</v>
      </c>
      <c r="P509" t="str">
        <f>_xlfn.XLOOKUP(Table1[[#This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cm="1">
        <f t="array" ref="G510">IF(_xlfn.XLOOKUP(C510,customers!$A$1:$A$1001,customers!$C$1:$C$1001,_xleta.N/A,0)=0,"",_xlfn.XLOOKUP(C510,customers!$A$1:$A$1001,customers!$C$1:$C$1001,_xleta.N/A,0))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f t="shared" si="21"/>
        <v>46.62</v>
      </c>
      <c r="N510" t="str">
        <f t="shared" si="22"/>
        <v>Liberica</v>
      </c>
      <c r="O510" t="str">
        <f t="shared" si="23"/>
        <v>Dark</v>
      </c>
      <c r="P510" t="str">
        <f>_xlfn.XLOOKUP(Table1[[#This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cm="1">
        <f t="array" ref="G511">IF(_xlfn.XLOOKUP(C511,customers!$A$1:$A$1001,customers!$C$1:$C$1001,_xleta.N/A,0)=0,"",_xlfn.XLOOKUP(C511,customers!$A$1:$A$1001,customers!$C$1:$C$1001,_xleta.N/A,0))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f t="shared" si="21"/>
        <v>29.849999999999998</v>
      </c>
      <c r="N511" t="str">
        <f t="shared" si="22"/>
        <v>Arabica</v>
      </c>
      <c r="O511" t="str">
        <f t="shared" si="23"/>
        <v>Dark</v>
      </c>
      <c r="P511" t="str">
        <f>_xlfn.XLOOKUP(Table1[[#This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cm="1">
        <f t="array" ref="G512">IF(_xlfn.XLOOKUP(C512,customers!$A$1:$A$1001,customers!$C$1:$C$1001,_xleta.N/A,0)=0,"",_xlfn.XLOOKUP(C512,customers!$A$1:$A$1001,customers!$C$1:$C$1001,_xleta.N/A,0))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f t="shared" si="21"/>
        <v>10.754999999999999</v>
      </c>
      <c r="N512" t="str">
        <f t="shared" si="22"/>
        <v>Robusta</v>
      </c>
      <c r="O512" t="str">
        <f t="shared" si="23"/>
        <v>Large</v>
      </c>
      <c r="P512" t="str">
        <f>_xlfn.XLOOKUP(Table1[[#This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cm="1">
        <f t="array" ref="G513">IF(_xlfn.XLOOKUP(C513,customers!$A$1:$A$1001,customers!$C$1:$C$1001,_xleta.N/A,0)=0,"",_xlfn.XLOOKUP(C513,customers!$A$1:$A$1001,customers!$C$1:$C$1001,_xleta.N/A,0))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f t="shared" si="21"/>
        <v>13.5</v>
      </c>
      <c r="N513" t="str">
        <f t="shared" si="22"/>
        <v>Arabica</v>
      </c>
      <c r="O513" t="str">
        <f t="shared" si="23"/>
        <v>Medium</v>
      </c>
      <c r="P513" t="str">
        <f>_xlfn.XLOOKUP(Table1[[#This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cm="1">
        <f t="array" ref="G514">IF(_xlfn.XLOOKUP(C514,customers!$A$1:$A$1001,customers!$C$1:$C$1001,_xleta.N/A,0)=0,"",_xlfn.XLOOKUP(C514,customers!$A$1:$A$1001,customers!$C$1:$C$1001,_xleta.N/A,0))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f t="shared" si="21"/>
        <v>47.55</v>
      </c>
      <c r="N514" t="str">
        <f t="shared" si="22"/>
        <v>Liberica</v>
      </c>
      <c r="O514" t="str">
        <f t="shared" si="23"/>
        <v>Large</v>
      </c>
      <c r="P514" t="str">
        <f>_xlfn.XLOOKUP(Table1[[#This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cm="1">
        <f t="array" ref="G515">IF(_xlfn.XLOOKUP(C515,customers!$A$1:$A$1001,customers!$C$1:$C$1001,_xleta.N/A,0)=0,"",_xlfn.XLOOKUP(C515,customers!$A$1:$A$1001,customers!$C$1:$C$1001,_xleta.N/A,0))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f t="shared" ref="M515:M578" si="24">L515*E515</f>
        <v>79.25</v>
      </c>
      <c r="N515" t="str">
        <f t="shared" ref="N515:N578" si="25">IF(I515="ROB","Robusta",IF(I515="EXC","Excelsa",IF(I515="Ara","Arabica",IF(I515="lib","Liberica",""))))</f>
        <v>Liberica</v>
      </c>
      <c r="O515" t="str">
        <f t="shared" ref="O515:O578" si="26">IF(J515="M","Medium",IF(J515="L","Large",IF(J515="D","Dark","")))</f>
        <v>Large</v>
      </c>
      <c r="P515" t="str">
        <f>_xlfn.XLOOKUP(Table1[[#This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cm="1">
        <f t="array" ref="G516">IF(_xlfn.XLOOKUP(C516,customers!$A$1:$A$1001,customers!$C$1:$C$1001,_xleta.N/A,0)=0,"",_xlfn.XLOOKUP(C516,customers!$A$1:$A$1001,customers!$C$1:$C$1001,_xleta.N/A,0))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f t="shared" si="24"/>
        <v>26.19</v>
      </c>
      <c r="N516" t="str">
        <f t="shared" si="25"/>
        <v>Liberica</v>
      </c>
      <c r="O516" t="str">
        <f t="shared" si="26"/>
        <v>Medium</v>
      </c>
      <c r="P516" t="str">
        <f>_xlfn.XLOOKUP(Table1[[#This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cm="1">
        <f t="array" ref="G517">IF(_xlfn.XLOOKUP(C517,customers!$A$1:$A$1001,customers!$C$1:$C$1001,_xleta.N/A,0)=0,"",_xlfn.XLOOKUP(C517,customers!$A$1:$A$1001,customers!$C$1:$C$1001,_xleta.N/A,0))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f t="shared" si="24"/>
        <v>21.509999999999998</v>
      </c>
      <c r="N517" t="str">
        <f t="shared" si="25"/>
        <v>Robusta</v>
      </c>
      <c r="O517" t="str">
        <f t="shared" si="26"/>
        <v>Large</v>
      </c>
      <c r="P517" t="str">
        <f>_xlfn.XLOOKUP(Table1[[#This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cm="1">
        <f t="array" ref="G518">IF(_xlfn.XLOOKUP(C518,customers!$A$1:$A$1001,customers!$C$1:$C$1001,_xleta.N/A,0)=0,"",_xlfn.XLOOKUP(C518,customers!$A$1:$A$1001,customers!$C$1:$C$1001,_xleta.N/A,0))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f t="shared" si="24"/>
        <v>102.92499999999998</v>
      </c>
      <c r="N518" t="str">
        <f t="shared" si="25"/>
        <v>Robusta</v>
      </c>
      <c r="O518" t="str">
        <f t="shared" si="26"/>
        <v>Dark</v>
      </c>
      <c r="P518" t="str">
        <f>_xlfn.XLOOKUP(Table1[[#This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cm="1">
        <f t="array" ref="G519">IF(_xlfn.XLOOKUP(C519,customers!$A$1:$A$1001,customers!$C$1:$C$1001,_xleta.N/A,0)=0,"",_xlfn.XLOOKUP(C519,customers!$A$1:$A$1001,customers!$C$1:$C$1001,_xleta.N/A,0))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f t="shared" si="24"/>
        <v>7.77</v>
      </c>
      <c r="N519" t="str">
        <f t="shared" si="25"/>
        <v>Liberica</v>
      </c>
      <c r="O519" t="str">
        <f t="shared" si="26"/>
        <v>Dark</v>
      </c>
      <c r="P519" t="str">
        <f>_xlfn.XLOOKUP(Table1[[#This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cm="1">
        <f t="array" ref="G520">IF(_xlfn.XLOOKUP(C520,customers!$A$1:$A$1001,customers!$C$1:$C$1001,_xleta.N/A,0)=0,"",_xlfn.XLOOKUP(C520,customers!$A$1:$A$1001,customers!$C$1:$C$1001,_xleta.N/A,0))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f t="shared" si="24"/>
        <v>139.72499999999999</v>
      </c>
      <c r="N520" t="str">
        <f t="shared" si="25"/>
        <v>Excelsa</v>
      </c>
      <c r="O520" t="str">
        <f t="shared" si="26"/>
        <v>Dark</v>
      </c>
      <c r="P520" t="str">
        <f>_xlfn.XLOOKUP(Table1[[#This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cm="1">
        <f t="array" ref="G521">IF(_xlfn.XLOOKUP(C521,customers!$A$1:$A$1001,customers!$C$1:$C$1001,_xleta.N/A,0)=0,"",_xlfn.XLOOKUP(C521,customers!$A$1:$A$1001,customers!$C$1:$C$1001,_xleta.N/A,0))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f t="shared" si="24"/>
        <v>11.94</v>
      </c>
      <c r="N521" t="str">
        <f t="shared" si="25"/>
        <v>Arabica</v>
      </c>
      <c r="O521" t="str">
        <f t="shared" si="26"/>
        <v>Dark</v>
      </c>
      <c r="P521" t="str">
        <f>_xlfn.XLOOKUP(Table1[[#This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cm="1">
        <f t="array" ref="G522">IF(_xlfn.XLOOKUP(C522,customers!$A$1:$A$1001,customers!$C$1:$C$1001,_xleta.N/A,0)=0,"",_xlfn.XLOOKUP(C522,customers!$A$1:$A$1001,customers!$C$1:$C$1001,_xleta.N/A,0))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f t="shared" si="24"/>
        <v>3.8849999999999998</v>
      </c>
      <c r="N522" t="str">
        <f t="shared" si="25"/>
        <v>Liberica</v>
      </c>
      <c r="O522" t="str">
        <f t="shared" si="26"/>
        <v>Dark</v>
      </c>
      <c r="P522" t="str">
        <f>_xlfn.XLOOKUP(Table1[[#This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cm="1">
        <f t="array" ref="G523">IF(_xlfn.XLOOKUP(C523,customers!$A$1:$A$1001,customers!$C$1:$C$1001,_xleta.N/A,0)=0,"",_xlfn.XLOOKUP(C523,customers!$A$1:$A$1001,customers!$C$1:$C$1001,_xleta.N/A,0))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f t="shared" si="24"/>
        <v>39.799999999999997</v>
      </c>
      <c r="N523" t="str">
        <f t="shared" si="25"/>
        <v>Robusta</v>
      </c>
      <c r="O523" t="str">
        <f t="shared" si="26"/>
        <v>Medium</v>
      </c>
      <c r="P523" t="str">
        <f>_xlfn.XLOOKUP(Table1[[#This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cm="1">
        <f t="array" ref="G524">IF(_xlfn.XLOOKUP(C524,customers!$A$1:$A$1001,customers!$C$1:$C$1001,_xleta.N/A,0)=0,"",_xlfn.XLOOKUP(C524,customers!$A$1:$A$1001,customers!$C$1:$C$1001,_xleta.N/A,0))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f t="shared" si="24"/>
        <v>29.849999999999998</v>
      </c>
      <c r="N524" t="str">
        <f t="shared" si="25"/>
        <v>Robusta</v>
      </c>
      <c r="O524" t="str">
        <f t="shared" si="26"/>
        <v>Medium</v>
      </c>
      <c r="P524" t="str">
        <f>_xlfn.XLOOKUP(Table1[[#This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cm="1">
        <f t="array" ref="G525">IF(_xlfn.XLOOKUP(C525,customers!$A$1:$A$1001,customers!$C$1:$C$1001,_xleta.N/A,0)=0,"",_xlfn.XLOOKUP(C525,customers!$A$1:$A$1001,customers!$C$1:$C$1001,_xleta.N/A,0))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f t="shared" si="24"/>
        <v>29.784999999999997</v>
      </c>
      <c r="N525" t="str">
        <f t="shared" si="25"/>
        <v>Liberica</v>
      </c>
      <c r="O525" t="str">
        <f t="shared" si="26"/>
        <v>Dark</v>
      </c>
      <c r="P525" t="str">
        <f>_xlfn.XLOOKUP(Table1[[#This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cm="1">
        <f t="array" ref="G526">IF(_xlfn.XLOOKUP(C526,customers!$A$1:$A$1001,customers!$C$1:$C$1001,_xleta.N/A,0)=0,"",_xlfn.XLOOKUP(C526,customers!$A$1:$A$1001,customers!$C$1:$C$1001,_xleta.N/A,0))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f t="shared" si="24"/>
        <v>72.91</v>
      </c>
      <c r="N526" t="str">
        <f t="shared" si="25"/>
        <v>Liberica</v>
      </c>
      <c r="O526" t="str">
        <f t="shared" si="26"/>
        <v>Large</v>
      </c>
      <c r="P526" t="str">
        <f>_xlfn.XLOOKUP(Table1[[#This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cm="1">
        <f t="array" ref="G527">IF(_xlfn.XLOOKUP(C527,customers!$A$1:$A$1001,customers!$C$1:$C$1001,_xleta.N/A,0)=0,"",_xlfn.XLOOKUP(C527,customers!$A$1:$A$1001,customers!$C$1:$C$1001,_xleta.N/A,0))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f t="shared" si="24"/>
        <v>13.424999999999997</v>
      </c>
      <c r="N527" t="str">
        <f t="shared" si="25"/>
        <v>Robusta</v>
      </c>
      <c r="O527" t="str">
        <f t="shared" si="26"/>
        <v>Dark</v>
      </c>
      <c r="P527" t="str">
        <f>_xlfn.XLOOKUP(Table1[[#This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cm="1">
        <f t="array" ref="G528">IF(_xlfn.XLOOKUP(C528,customers!$A$1:$A$1001,customers!$C$1:$C$1001,_xleta.N/A,0)=0,"",_xlfn.XLOOKUP(C528,customers!$A$1:$A$1001,customers!$C$1:$C$1001,_xleta.N/A,0))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f t="shared" si="24"/>
        <v>126.49999999999999</v>
      </c>
      <c r="N528" t="str">
        <f t="shared" si="25"/>
        <v>Excelsa</v>
      </c>
      <c r="O528" t="str">
        <f t="shared" si="26"/>
        <v>Medium</v>
      </c>
      <c r="P528" t="str">
        <f>_xlfn.XLOOKUP(Table1[[#This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cm="1">
        <f t="array" ref="G529">IF(_xlfn.XLOOKUP(C529,customers!$A$1:$A$1001,customers!$C$1:$C$1001,_xleta.N/A,0)=0,"",_xlfn.XLOOKUP(C529,customers!$A$1:$A$1001,customers!$C$1:$C$1001,_xleta.N/A,0))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f t="shared" si="24"/>
        <v>41.25</v>
      </c>
      <c r="N529" t="str">
        <f t="shared" si="25"/>
        <v>Excelsa</v>
      </c>
      <c r="O529" t="str">
        <f t="shared" si="26"/>
        <v>Medium</v>
      </c>
      <c r="P529" t="str">
        <f>_xlfn.XLOOKUP(Table1[[#This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cm="1">
        <f t="array" ref="G530">IF(_xlfn.XLOOKUP(C530,customers!$A$1:$A$1001,customers!$C$1:$C$1001,_xleta.N/A,0)=0,"",_xlfn.XLOOKUP(C530,customers!$A$1:$A$1001,customers!$C$1:$C$1001,_xleta.N/A,0))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f t="shared" si="24"/>
        <v>53.46</v>
      </c>
      <c r="N530" t="str">
        <f t="shared" si="25"/>
        <v>Excelsa</v>
      </c>
      <c r="O530" t="str">
        <f t="shared" si="26"/>
        <v>Large</v>
      </c>
      <c r="P530" t="str">
        <f>_xlfn.XLOOKUP(Table1[[#This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cm="1">
        <f t="array" ref="G531">IF(_xlfn.XLOOKUP(C531,customers!$A$1:$A$1001,customers!$C$1:$C$1001,_xleta.N/A,0)=0,"",_xlfn.XLOOKUP(C531,customers!$A$1:$A$1001,customers!$C$1:$C$1001,_xleta.N/A,0))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f t="shared" si="24"/>
        <v>59.699999999999996</v>
      </c>
      <c r="N531" t="str">
        <f t="shared" si="25"/>
        <v>Robusta</v>
      </c>
      <c r="O531" t="str">
        <f t="shared" si="26"/>
        <v>Medium</v>
      </c>
      <c r="P531" t="str">
        <f>_xlfn.XLOOKUP(Table1[[#This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cm="1">
        <f t="array" ref="G532">IF(_xlfn.XLOOKUP(C532,customers!$A$1:$A$1001,customers!$C$1:$C$1001,_xleta.N/A,0)=0,"",_xlfn.XLOOKUP(C532,customers!$A$1:$A$1001,customers!$C$1:$C$1001,_xleta.N/A,0))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f t="shared" si="24"/>
        <v>59.699999999999996</v>
      </c>
      <c r="N532" t="str">
        <f t="shared" si="25"/>
        <v>Robusta</v>
      </c>
      <c r="O532" t="str">
        <f t="shared" si="26"/>
        <v>Medium</v>
      </c>
      <c r="P532" t="str">
        <f>_xlfn.XLOOKUP(Table1[[#This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cm="1">
        <f t="array" ref="G533">IF(_xlfn.XLOOKUP(C533,customers!$A$1:$A$1001,customers!$C$1:$C$1001,_xleta.N/A,0)=0,"",_xlfn.XLOOKUP(C533,customers!$A$1:$A$1001,customers!$C$1:$C$1001,_xleta.N/A,0))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f t="shared" si="24"/>
        <v>44.75</v>
      </c>
      <c r="N533" t="str">
        <f t="shared" si="25"/>
        <v>Robusta</v>
      </c>
      <c r="O533" t="str">
        <f t="shared" si="26"/>
        <v>Dark</v>
      </c>
      <c r="P533" t="str">
        <f>_xlfn.XLOOKUP(Table1[[#This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cm="1">
        <f t="array" ref="G534">IF(_xlfn.XLOOKUP(C534,customers!$A$1:$A$1001,customers!$C$1:$C$1001,_xleta.N/A,0)=0,"",_xlfn.XLOOKUP(C534,customers!$A$1:$A$1001,customers!$C$1:$C$1001,_xleta.N/A,0))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f t="shared" si="24"/>
        <v>16.5</v>
      </c>
      <c r="N534" t="str">
        <f t="shared" si="25"/>
        <v>Excelsa</v>
      </c>
      <c r="O534" t="str">
        <f t="shared" si="26"/>
        <v>Medium</v>
      </c>
      <c r="P534" t="str">
        <f>_xlfn.XLOOKUP(Table1[[#This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cm="1">
        <f t="array" ref="G535">IF(_xlfn.XLOOKUP(C535,customers!$A$1:$A$1001,customers!$C$1:$C$1001,_xleta.N/A,0)=0,"",_xlfn.XLOOKUP(C535,customers!$A$1:$A$1001,customers!$C$1:$C$1001,_xleta.N/A,0))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f t="shared" si="24"/>
        <v>21.479999999999997</v>
      </c>
      <c r="N535" t="str">
        <f t="shared" si="25"/>
        <v>Robusta</v>
      </c>
      <c r="O535" t="str">
        <f t="shared" si="26"/>
        <v>Dark</v>
      </c>
      <c r="P535" t="str">
        <f>_xlfn.XLOOKUP(Table1[[#This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cm="1">
        <f t="array" ref="G536">IF(_xlfn.XLOOKUP(C536,customers!$A$1:$A$1001,customers!$C$1:$C$1001,_xleta.N/A,0)=0,"",_xlfn.XLOOKUP(C536,customers!$A$1:$A$1001,customers!$C$1:$C$1001,_xleta.N/A,0))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f t="shared" si="24"/>
        <v>45.769999999999996</v>
      </c>
      <c r="N536" t="str">
        <f t="shared" si="25"/>
        <v>Robusta</v>
      </c>
      <c r="O536" t="str">
        <f t="shared" si="26"/>
        <v>Medium</v>
      </c>
      <c r="P536" t="str">
        <f>_xlfn.XLOOKUP(Table1[[#This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cm="1">
        <f t="array" ref="G537">IF(_xlfn.XLOOKUP(C537,customers!$A$1:$A$1001,customers!$C$1:$C$1001,_xleta.N/A,0)=0,"",_xlfn.XLOOKUP(C537,customers!$A$1:$A$1001,customers!$C$1:$C$1001,_xleta.N/A,0))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f t="shared" si="24"/>
        <v>9.51</v>
      </c>
      <c r="N537" t="str">
        <f t="shared" si="25"/>
        <v>Liberica</v>
      </c>
      <c r="O537" t="str">
        <f t="shared" si="26"/>
        <v>Large</v>
      </c>
      <c r="P537" t="str">
        <f>_xlfn.XLOOKUP(Table1[[#This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cm="1">
        <f t="array" ref="G538">IF(_xlfn.XLOOKUP(C538,customers!$A$1:$A$1001,customers!$C$1:$C$1001,_xleta.N/A,0)=0,"",_xlfn.XLOOKUP(C538,customers!$A$1:$A$1001,customers!$C$1:$C$1001,_xleta.N/A,0))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f t="shared" si="24"/>
        <v>8.0549999999999997</v>
      </c>
      <c r="N538" t="str">
        <f t="shared" si="25"/>
        <v>Robusta</v>
      </c>
      <c r="O538" t="str">
        <f t="shared" si="26"/>
        <v>Dark</v>
      </c>
      <c r="P538" t="str">
        <f>_xlfn.XLOOKUP(Table1[[#This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cm="1">
        <f t="array" ref="G539">IF(_xlfn.XLOOKUP(C539,customers!$A$1:$A$1001,customers!$C$1:$C$1001,_xleta.N/A,0)=0,"",_xlfn.XLOOKUP(C539,customers!$A$1:$A$1001,customers!$C$1:$C$1001,_xleta.N/A,0))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f t="shared" si="24"/>
        <v>111.78</v>
      </c>
      <c r="N539" t="str">
        <f t="shared" si="25"/>
        <v>Excelsa</v>
      </c>
      <c r="O539" t="str">
        <f t="shared" si="26"/>
        <v>Dark</v>
      </c>
      <c r="P539" t="str">
        <f>_xlfn.XLOOKUP(Table1[[#This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cm="1">
        <f t="array" ref="G540">IF(_xlfn.XLOOKUP(C540,customers!$A$1:$A$1001,customers!$C$1:$C$1001,_xleta.N/A,0)=0,"",_xlfn.XLOOKUP(C540,customers!$A$1:$A$1001,customers!$C$1:$C$1001,_xleta.N/A,0))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f t="shared" si="24"/>
        <v>10.739999999999998</v>
      </c>
      <c r="N540" t="str">
        <f t="shared" si="25"/>
        <v>Robusta</v>
      </c>
      <c r="O540" t="str">
        <f t="shared" si="26"/>
        <v>Dark</v>
      </c>
      <c r="P540" t="str">
        <f>_xlfn.XLOOKUP(Table1[[#This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cm="1">
        <f t="array" ref="G541">IF(_xlfn.XLOOKUP(C541,customers!$A$1:$A$1001,customers!$C$1:$C$1001,_xleta.N/A,0)=0,"",_xlfn.XLOOKUP(C541,customers!$A$1:$A$1001,customers!$C$1:$C$1001,_xleta.N/A,0))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f t="shared" si="24"/>
        <v>26.849999999999994</v>
      </c>
      <c r="N541" t="str">
        <f t="shared" si="25"/>
        <v>Robusta</v>
      </c>
      <c r="O541" t="str">
        <f t="shared" si="26"/>
        <v>Dark</v>
      </c>
      <c r="P541" t="str">
        <f>_xlfn.XLOOKUP(Table1[[#This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cm="1">
        <f t="array" ref="G542">IF(_xlfn.XLOOKUP(C542,customers!$A$1:$A$1001,customers!$C$1:$C$1001,_xleta.N/A,0)=0,"",_xlfn.XLOOKUP(C542,customers!$A$1:$A$1001,customers!$C$1:$C$1001,_xleta.N/A,0))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f t="shared" si="24"/>
        <v>63.4</v>
      </c>
      <c r="N542" t="str">
        <f t="shared" si="25"/>
        <v>Liberica</v>
      </c>
      <c r="O542" t="str">
        <f t="shared" si="26"/>
        <v>Large</v>
      </c>
      <c r="P542" t="str">
        <f>_xlfn.XLOOKUP(Table1[[#This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cm="1">
        <f t="array" ref="G543">IF(_xlfn.XLOOKUP(C543,customers!$A$1:$A$1001,customers!$C$1:$C$1001,_xleta.N/A,0)=0,"",_xlfn.XLOOKUP(C543,customers!$A$1:$A$1001,customers!$C$1:$C$1001,_xleta.N/A,0))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f t="shared" si="24"/>
        <v>22.884999999999998</v>
      </c>
      <c r="N543" t="str">
        <f t="shared" si="25"/>
        <v>Arabica</v>
      </c>
      <c r="O543" t="str">
        <f t="shared" si="26"/>
        <v>Dark</v>
      </c>
      <c r="P543" t="str">
        <f>_xlfn.XLOOKUP(Table1[[#This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cm="1">
        <f t="array" ref="G544">IF(_xlfn.XLOOKUP(C544,customers!$A$1:$A$1001,customers!$C$1:$C$1001,_xleta.N/A,0)=0,"",_xlfn.XLOOKUP(C544,customers!$A$1:$A$1001,customers!$C$1:$C$1001,_xleta.N/A,0))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f t="shared" si="24"/>
        <v>103.49999999999999</v>
      </c>
      <c r="N544" t="str">
        <f t="shared" si="25"/>
        <v>Arabica</v>
      </c>
      <c r="O544" t="str">
        <f t="shared" si="26"/>
        <v>Medium</v>
      </c>
      <c r="P544" t="str">
        <f>_xlfn.XLOOKUP(Table1[[#This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cm="1">
        <f t="array" ref="G545">IF(_xlfn.XLOOKUP(C545,customers!$A$1:$A$1001,customers!$C$1:$C$1001,_xleta.N/A,0)=0,"",_xlfn.XLOOKUP(C545,customers!$A$1:$A$1001,customers!$C$1:$C$1001,_xleta.N/A,0))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f t="shared" si="24"/>
        <v>54.969999999999992</v>
      </c>
      <c r="N545" t="str">
        <f t="shared" si="25"/>
        <v>Robusta</v>
      </c>
      <c r="O545" t="str">
        <f t="shared" si="26"/>
        <v>Large</v>
      </c>
      <c r="P545" t="str">
        <f>_xlfn.XLOOKUP(Table1[[#This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cm="1">
        <f t="array" ref="G546">IF(_xlfn.XLOOKUP(C546,customers!$A$1:$A$1001,customers!$C$1:$C$1001,_xleta.N/A,0)=0,"",_xlfn.XLOOKUP(C546,customers!$A$1:$A$1001,customers!$C$1:$C$1001,_xleta.N/A,0))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f t="shared" si="24"/>
        <v>15.54</v>
      </c>
      <c r="N546" t="str">
        <f t="shared" si="25"/>
        <v>Arabica</v>
      </c>
      <c r="O546" t="str">
        <f t="shared" si="26"/>
        <v>Large</v>
      </c>
      <c r="P546" t="str">
        <f>_xlfn.XLOOKUP(Table1[[#This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cm="1">
        <f t="array" ref="G547">IF(_xlfn.XLOOKUP(C547,customers!$A$1:$A$1001,customers!$C$1:$C$1001,_xleta.N/A,0)=0,"",_xlfn.XLOOKUP(C547,customers!$A$1:$A$1001,customers!$C$1:$C$1001,_xleta.N/A,0))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f t="shared" si="24"/>
        <v>15.54</v>
      </c>
      <c r="N547" t="str">
        <f t="shared" si="25"/>
        <v>Liberica</v>
      </c>
      <c r="O547" t="str">
        <f t="shared" si="26"/>
        <v>Dark</v>
      </c>
      <c r="P547" t="str">
        <f>_xlfn.XLOOKUP(Table1[[#This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cm="1">
        <f t="array" ref="G548">IF(_xlfn.XLOOKUP(C548,customers!$A$1:$A$1001,customers!$C$1:$C$1001,_xleta.N/A,0)=0,"",_xlfn.XLOOKUP(C548,customers!$A$1:$A$1001,customers!$C$1:$C$1001,_xleta.N/A,0))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f t="shared" si="24"/>
        <v>83.835000000000008</v>
      </c>
      <c r="N548" t="str">
        <f t="shared" si="25"/>
        <v>Excelsa</v>
      </c>
      <c r="O548" t="str">
        <f t="shared" si="26"/>
        <v>Dark</v>
      </c>
      <c r="P548" t="str">
        <f>_xlfn.XLOOKUP(Table1[[#This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cm="1">
        <f t="array" ref="G549">IF(_xlfn.XLOOKUP(C549,customers!$A$1:$A$1001,customers!$C$1:$C$1001,_xleta.N/A,0)=0,"",_xlfn.XLOOKUP(C549,customers!$A$1:$A$1001,customers!$C$1:$C$1001,_xleta.N/A,0))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f t="shared" si="24"/>
        <v>10.754999999999999</v>
      </c>
      <c r="N549" t="str">
        <f t="shared" si="25"/>
        <v>Robusta</v>
      </c>
      <c r="O549" t="str">
        <f t="shared" si="26"/>
        <v>Large</v>
      </c>
      <c r="P549" t="str">
        <f>_xlfn.XLOOKUP(Table1[[#This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cm="1">
        <f t="array" ref="G550">IF(_xlfn.XLOOKUP(C550,customers!$A$1:$A$1001,customers!$C$1:$C$1001,_xleta.N/A,0)=0,"",_xlfn.XLOOKUP(C550,customers!$A$1:$A$1001,customers!$C$1:$C$1001,_xleta.N/A,0))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f t="shared" si="24"/>
        <v>13.365</v>
      </c>
      <c r="N550" t="str">
        <f t="shared" si="25"/>
        <v>Excelsa</v>
      </c>
      <c r="O550" t="str">
        <f t="shared" si="26"/>
        <v>Large</v>
      </c>
      <c r="P550" t="str">
        <f>_xlfn.XLOOKUP(Table1[[#This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cm="1">
        <f t="array" ref="G551">IF(_xlfn.XLOOKUP(C551,customers!$A$1:$A$1001,customers!$C$1:$C$1001,_xleta.N/A,0)=0,"",_xlfn.XLOOKUP(C551,customers!$A$1:$A$1001,customers!$C$1:$C$1001,_xleta.N/A,0))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f t="shared" si="24"/>
        <v>17.82</v>
      </c>
      <c r="N551" t="str">
        <f t="shared" si="25"/>
        <v>Excelsa</v>
      </c>
      <c r="O551" t="str">
        <f t="shared" si="26"/>
        <v>Large</v>
      </c>
      <c r="P551" t="str">
        <f>_xlfn.XLOOKUP(Table1[[#This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cm="1">
        <f t="array" ref="G552">IF(_xlfn.XLOOKUP(C552,customers!$A$1:$A$1001,customers!$C$1:$C$1001,_xleta.N/A,0)=0,"",_xlfn.XLOOKUP(C552,customers!$A$1:$A$1001,customers!$C$1:$C$1001,_xleta.N/A,0))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f t="shared" si="24"/>
        <v>23.31</v>
      </c>
      <c r="N552" t="str">
        <f t="shared" si="25"/>
        <v>Liberica</v>
      </c>
      <c r="O552" t="str">
        <f t="shared" si="26"/>
        <v>Dark</v>
      </c>
      <c r="P552" t="str">
        <f>_xlfn.XLOOKUP(Table1[[#This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cm="1">
        <f t="array" ref="G553">IF(_xlfn.XLOOKUP(C553,customers!$A$1:$A$1001,customers!$C$1:$C$1001,_xleta.N/A,0)=0,"",_xlfn.XLOOKUP(C553,customers!$A$1:$A$1001,customers!$C$1:$C$1001,_xleta.N/A,0))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f t="shared" si="24"/>
        <v>7.29</v>
      </c>
      <c r="N553" t="str">
        <f t="shared" si="25"/>
        <v>Excelsa</v>
      </c>
      <c r="O553" t="str">
        <f t="shared" si="26"/>
        <v>Dark</v>
      </c>
      <c r="P553" t="str">
        <f>_xlfn.XLOOKUP(Table1[[#This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cm="1">
        <f t="array" ref="G554">IF(_xlfn.XLOOKUP(C554,customers!$A$1:$A$1001,customers!$C$1:$C$1001,_xleta.N/A,0)=0,"",_xlfn.XLOOKUP(C554,customers!$A$1:$A$1001,customers!$C$1:$C$1001,_xleta.N/A,0))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f t="shared" si="24"/>
        <v>17.82</v>
      </c>
      <c r="N554" t="str">
        <f t="shared" si="25"/>
        <v>Excelsa</v>
      </c>
      <c r="O554" t="str">
        <f t="shared" si="26"/>
        <v>Large</v>
      </c>
      <c r="P554" t="str">
        <f>_xlfn.XLOOKUP(Table1[[#This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cm="1">
        <f t="array" ref="G555">IF(_xlfn.XLOOKUP(C555,customers!$A$1:$A$1001,customers!$C$1:$C$1001,_xleta.N/A,0)=0,"",_xlfn.XLOOKUP(C555,customers!$A$1:$A$1001,customers!$C$1:$C$1001,_xleta.N/A,0))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f t="shared" si="24"/>
        <v>68.75</v>
      </c>
      <c r="N555" t="str">
        <f t="shared" si="25"/>
        <v>Excelsa</v>
      </c>
      <c r="O555" t="str">
        <f t="shared" si="26"/>
        <v>Medium</v>
      </c>
      <c r="P555" t="str">
        <f>_xlfn.XLOOKUP(Table1[[#This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cm="1">
        <f t="array" ref="G556">IF(_xlfn.XLOOKUP(C556,customers!$A$1:$A$1001,customers!$C$1:$C$1001,_xleta.N/A,0)=0,"",_xlfn.XLOOKUP(C556,customers!$A$1:$A$1001,customers!$C$1:$C$1001,_xleta.N/A,0))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f t="shared" si="24"/>
        <v>54.969999999999992</v>
      </c>
      <c r="N556" t="str">
        <f t="shared" si="25"/>
        <v>Robusta</v>
      </c>
      <c r="O556" t="str">
        <f t="shared" si="26"/>
        <v>Large</v>
      </c>
      <c r="P556" t="str">
        <f>_xlfn.XLOOKUP(Table1[[#This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cm="1">
        <f t="array" ref="G557">IF(_xlfn.XLOOKUP(C557,customers!$A$1:$A$1001,customers!$C$1:$C$1001,_xleta.N/A,0)=0,"",_xlfn.XLOOKUP(C557,customers!$A$1:$A$1001,customers!$C$1:$C$1001,_xleta.N/A,0))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f t="shared" si="24"/>
        <v>82.5</v>
      </c>
      <c r="N557" t="str">
        <f t="shared" si="25"/>
        <v>Excelsa</v>
      </c>
      <c r="O557" t="str">
        <f t="shared" si="26"/>
        <v>Medium</v>
      </c>
      <c r="P557" t="str">
        <f>_xlfn.XLOOKUP(Table1[[#This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cm="1">
        <f t="array" ref="G558">IF(_xlfn.XLOOKUP(C558,customers!$A$1:$A$1001,customers!$C$1:$C$1001,_xleta.N/A,0)=0,"",_xlfn.XLOOKUP(C558,customers!$A$1:$A$1001,customers!$C$1:$C$1001,_xleta.N/A,0))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f t="shared" si="24"/>
        <v>8.73</v>
      </c>
      <c r="N558" t="str">
        <f t="shared" si="25"/>
        <v>Liberica</v>
      </c>
      <c r="O558" t="str">
        <f t="shared" si="26"/>
        <v>Medium</v>
      </c>
      <c r="P558" t="str">
        <f>_xlfn.XLOOKUP(Table1[[#This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cm="1">
        <f t="array" ref="G559">IF(_xlfn.XLOOKUP(C559,customers!$A$1:$A$1001,customers!$C$1:$C$1001,_xleta.N/A,0)=0,"",_xlfn.XLOOKUP(C559,customers!$A$1:$A$1001,customers!$C$1:$C$1001,_xleta.N/A,0))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f t="shared" si="24"/>
        <v>59.4</v>
      </c>
      <c r="N559" t="str">
        <f t="shared" si="25"/>
        <v>Excelsa</v>
      </c>
      <c r="O559" t="str">
        <f t="shared" si="26"/>
        <v>Large</v>
      </c>
      <c r="P559" t="str">
        <f>_xlfn.XLOOKUP(Table1[[#This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cm="1">
        <f t="array" ref="G560">IF(_xlfn.XLOOKUP(C560,customers!$A$1:$A$1001,customers!$C$1:$C$1001,_xleta.N/A,0)=0,"",_xlfn.XLOOKUP(C560,customers!$A$1:$A$1001,customers!$C$1:$C$1001,_xleta.N/A,0))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f t="shared" si="24"/>
        <v>15.54</v>
      </c>
      <c r="N560" t="str">
        <f t="shared" si="25"/>
        <v>Liberica</v>
      </c>
      <c r="O560" t="str">
        <f t="shared" si="26"/>
        <v>Dark</v>
      </c>
      <c r="P560" t="str">
        <f>_xlfn.XLOOKUP(Table1[[#This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cm="1">
        <f t="array" ref="G561">IF(_xlfn.XLOOKUP(C561,customers!$A$1:$A$1001,customers!$C$1:$C$1001,_xleta.N/A,0)=0,"",_xlfn.XLOOKUP(C561,customers!$A$1:$A$1001,customers!$C$1:$C$1001,_xleta.N/A,0))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f t="shared" si="24"/>
        <v>38.849999999999994</v>
      </c>
      <c r="N561" t="str">
        <f t="shared" si="25"/>
        <v>Arabica</v>
      </c>
      <c r="O561" t="str">
        <f t="shared" si="26"/>
        <v>Large</v>
      </c>
      <c r="P561" t="str">
        <f>_xlfn.XLOOKUP(Table1[[#This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cm="1">
        <f t="array" ref="G562">IF(_xlfn.XLOOKUP(C562,customers!$A$1:$A$1001,customers!$C$1:$C$1001,_xleta.N/A,0)=0,"",_xlfn.XLOOKUP(C562,customers!$A$1:$A$1001,customers!$C$1:$C$1001,_xleta.N/A,0))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f t="shared" si="24"/>
        <v>189.74999999999997</v>
      </c>
      <c r="N562" t="str">
        <f t="shared" si="25"/>
        <v>Excelsa</v>
      </c>
      <c r="O562" t="str">
        <f t="shared" si="26"/>
        <v>Medium</v>
      </c>
      <c r="P562" t="str">
        <f>_xlfn.XLOOKUP(Table1[[#This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cm="1">
        <f t="array" ref="G563">IF(_xlfn.XLOOKUP(C563,customers!$A$1:$A$1001,customers!$C$1:$C$1001,_xleta.N/A,0)=0,"",_xlfn.XLOOKUP(C563,customers!$A$1:$A$1001,customers!$C$1:$C$1001,_xleta.N/A,0))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f t="shared" si="24"/>
        <v>17.91</v>
      </c>
      <c r="N563" t="str">
        <f t="shared" si="25"/>
        <v>Arabica</v>
      </c>
      <c r="O563" t="str">
        <f t="shared" si="26"/>
        <v>Dark</v>
      </c>
      <c r="P563" t="str">
        <f>_xlfn.XLOOKUP(Table1[[#This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cm="1">
        <f t="array" ref="G564">IF(_xlfn.XLOOKUP(C564,customers!$A$1:$A$1001,customers!$C$1:$C$1001,_xleta.N/A,0)=0,"",_xlfn.XLOOKUP(C564,customers!$A$1:$A$1001,customers!$C$1:$C$1001,_xleta.N/A,0))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f t="shared" si="24"/>
        <v>28.53</v>
      </c>
      <c r="N564" t="str">
        <f t="shared" si="25"/>
        <v>Liberica</v>
      </c>
      <c r="O564" t="str">
        <f t="shared" si="26"/>
        <v>Large</v>
      </c>
      <c r="P564" t="str">
        <f>_xlfn.XLOOKUP(Table1[[#This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cm="1">
        <f t="array" ref="G565">IF(_xlfn.XLOOKUP(C565,customers!$A$1:$A$1001,customers!$C$1:$C$1001,_xleta.N/A,0)=0,"",_xlfn.XLOOKUP(C565,customers!$A$1:$A$1001,customers!$C$1:$C$1001,_xleta.N/A,0))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f t="shared" si="24"/>
        <v>82.5</v>
      </c>
      <c r="N565" t="str">
        <f t="shared" si="25"/>
        <v>Excelsa</v>
      </c>
      <c r="O565" t="str">
        <f t="shared" si="26"/>
        <v>Medium</v>
      </c>
      <c r="P565" t="str">
        <f>_xlfn.XLOOKUP(Table1[[#This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cm="1">
        <f t="array" ref="G566">IF(_xlfn.XLOOKUP(C566,customers!$A$1:$A$1001,customers!$C$1:$C$1001,_xleta.N/A,0)=0,"",_xlfn.XLOOKUP(C566,customers!$A$1:$A$1001,customers!$C$1:$C$1001,_xleta.N/A,0))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f t="shared" si="24"/>
        <v>14.339999999999998</v>
      </c>
      <c r="N566" t="str">
        <f t="shared" si="25"/>
        <v>Robusta</v>
      </c>
      <c r="O566" t="str">
        <f t="shared" si="26"/>
        <v>Large</v>
      </c>
      <c r="P566" t="str">
        <f>_xlfn.XLOOKUP(Table1[[#This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cm="1">
        <f t="array" ref="G567">IF(_xlfn.XLOOKUP(C567,customers!$A$1:$A$1001,customers!$C$1:$C$1001,_xleta.N/A,0)=0,"",_xlfn.XLOOKUP(C567,customers!$A$1:$A$1001,customers!$C$1:$C$1001,_xleta.N/A,0))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f t="shared" si="24"/>
        <v>82.339999999999989</v>
      </c>
      <c r="N567" t="str">
        <f t="shared" si="25"/>
        <v>Robusta</v>
      </c>
      <c r="O567" t="str">
        <f t="shared" si="26"/>
        <v>Dark</v>
      </c>
      <c r="P567" t="str">
        <f>_xlfn.XLOOKUP(Table1[[#This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cm="1">
        <f t="array" ref="G568">IF(_xlfn.XLOOKUP(C568,customers!$A$1:$A$1001,customers!$C$1:$C$1001,_xleta.N/A,0)=0,"",_xlfn.XLOOKUP(C568,customers!$A$1:$A$1001,customers!$C$1:$C$1001,_xleta.N/A,0))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f t="shared" si="24"/>
        <v>20.25</v>
      </c>
      <c r="N568" t="str">
        <f t="shared" si="25"/>
        <v>Arabica</v>
      </c>
      <c r="O568" t="str">
        <f t="shared" si="26"/>
        <v>Medium</v>
      </c>
      <c r="P568" t="str">
        <f>_xlfn.XLOOKUP(Table1[[#This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cm="1">
        <f t="array" ref="G569">IF(_xlfn.XLOOKUP(C569,customers!$A$1:$A$1001,customers!$C$1:$C$1001,_xleta.N/A,0)=0,"",_xlfn.XLOOKUP(C569,customers!$A$1:$A$1001,customers!$C$1:$C$1001,_xleta.N/A,0))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f t="shared" si="24"/>
        <v>164.90999999999997</v>
      </c>
      <c r="N569" t="str">
        <f t="shared" si="25"/>
        <v>Robusta</v>
      </c>
      <c r="O569" t="str">
        <f t="shared" si="26"/>
        <v>Large</v>
      </c>
      <c r="P569" t="str">
        <f>_xlfn.XLOOKUP(Table1[[#This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cm="1">
        <f t="array" ref="G570">IF(_xlfn.XLOOKUP(C570,customers!$A$1:$A$1001,customers!$C$1:$C$1001,_xleta.N/A,0)=0,"",_xlfn.XLOOKUP(C570,customers!$A$1:$A$1001,customers!$C$1:$C$1001,_xleta.N/A,0))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f t="shared" si="24"/>
        <v>19.02</v>
      </c>
      <c r="N570" t="str">
        <f t="shared" si="25"/>
        <v>Liberica</v>
      </c>
      <c r="O570" t="str">
        <f t="shared" si="26"/>
        <v>Large</v>
      </c>
      <c r="P570" t="str">
        <f>_xlfn.XLOOKUP(Table1[[#This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cm="1">
        <f t="array" ref="G571">IF(_xlfn.XLOOKUP(C571,customers!$A$1:$A$1001,customers!$C$1:$C$1001,_xleta.N/A,0)=0,"",_xlfn.XLOOKUP(C571,customers!$A$1:$A$1001,customers!$C$1:$C$1001,_xleta.N/A,0))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f t="shared" si="24"/>
        <v>137.31</v>
      </c>
      <c r="N571" t="str">
        <f t="shared" si="25"/>
        <v>Arabica</v>
      </c>
      <c r="O571" t="str">
        <f t="shared" si="26"/>
        <v>Dark</v>
      </c>
      <c r="P571" t="str">
        <f>_xlfn.XLOOKUP(Table1[[#This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cm="1">
        <f t="array" ref="G572">IF(_xlfn.XLOOKUP(C572,customers!$A$1:$A$1001,customers!$C$1:$C$1001,_xleta.N/A,0)=0,"",_xlfn.XLOOKUP(C572,customers!$A$1:$A$1001,customers!$C$1:$C$1001,_xleta.N/A,0))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f t="shared" si="24"/>
        <v>27</v>
      </c>
      <c r="N572" t="str">
        <f t="shared" si="25"/>
        <v>Arabica</v>
      </c>
      <c r="O572" t="str">
        <f t="shared" si="26"/>
        <v>Medium</v>
      </c>
      <c r="P572" t="str">
        <f>_xlfn.XLOOKUP(Table1[[#This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cm="1">
        <f t="array" ref="G573">IF(_xlfn.XLOOKUP(C573,customers!$A$1:$A$1001,customers!$C$1:$C$1001,_xleta.N/A,0)=0,"",_xlfn.XLOOKUP(C573,customers!$A$1:$A$1001,customers!$C$1:$C$1001,_xleta.N/A,0))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f t="shared" si="24"/>
        <v>35.64</v>
      </c>
      <c r="N573" t="str">
        <f t="shared" si="25"/>
        <v>Excelsa</v>
      </c>
      <c r="O573" t="str">
        <f t="shared" si="26"/>
        <v>Large</v>
      </c>
      <c r="P573" t="str">
        <f>_xlfn.XLOOKUP(Table1[[#This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cm="1">
        <f t="array" ref="G574">IF(_xlfn.XLOOKUP(C574,customers!$A$1:$A$1001,customers!$C$1:$C$1001,_xleta.N/A,0)=0,"",_xlfn.XLOOKUP(C574,customers!$A$1:$A$1001,customers!$C$1:$C$1001,_xleta.N/A,0))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f t="shared" si="24"/>
        <v>5.97</v>
      </c>
      <c r="N574" t="str">
        <f t="shared" si="25"/>
        <v>Arabica</v>
      </c>
      <c r="O574" t="str">
        <f t="shared" si="26"/>
        <v>Dark</v>
      </c>
      <c r="P574" t="str">
        <f>_xlfn.XLOOKUP(Table1[[#This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cm="1">
        <f t="array" ref="G575">IF(_xlfn.XLOOKUP(C575,customers!$A$1:$A$1001,customers!$C$1:$C$1001,_xleta.N/A,0)=0,"",_xlfn.XLOOKUP(C575,customers!$A$1:$A$1001,customers!$C$1:$C$1001,_xleta.N/A,0))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f t="shared" si="24"/>
        <v>67.5</v>
      </c>
      <c r="N575" t="str">
        <f t="shared" si="25"/>
        <v>Arabica</v>
      </c>
      <c r="O575" t="str">
        <f t="shared" si="26"/>
        <v>Medium</v>
      </c>
      <c r="P575" t="str">
        <f>_xlfn.XLOOKUP(Table1[[#This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cm="1">
        <f t="array" ref="G576">IF(_xlfn.XLOOKUP(C576,customers!$A$1:$A$1001,customers!$C$1:$C$1001,_xleta.N/A,0)=0,"",_xlfn.XLOOKUP(C576,customers!$A$1:$A$1001,customers!$C$1:$C$1001,_xleta.N/A,0))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f t="shared" si="24"/>
        <v>21.509999999999998</v>
      </c>
      <c r="N576" t="str">
        <f t="shared" si="25"/>
        <v>Robusta</v>
      </c>
      <c r="O576" t="str">
        <f t="shared" si="26"/>
        <v>Large</v>
      </c>
      <c r="P576" t="str">
        <f>_xlfn.XLOOKUP(Table1[[#This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cm="1">
        <f t="array" ref="G577">IF(_xlfn.XLOOKUP(C577,customers!$A$1:$A$1001,customers!$C$1:$C$1001,_xleta.N/A,0)=0,"",_xlfn.XLOOKUP(C577,customers!$A$1:$A$1001,customers!$C$1:$C$1001,_xleta.N/A,0))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f t="shared" si="24"/>
        <v>66.929999999999993</v>
      </c>
      <c r="N577" t="str">
        <f t="shared" si="25"/>
        <v>Liberica</v>
      </c>
      <c r="O577" t="str">
        <f t="shared" si="26"/>
        <v>Medium</v>
      </c>
      <c r="P577" t="str">
        <f>_xlfn.XLOOKUP(Table1[[#This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cm="1">
        <f t="array" ref="G578">IF(_xlfn.XLOOKUP(C578,customers!$A$1:$A$1001,customers!$C$1:$C$1001,_xleta.N/A,0)=0,"",_xlfn.XLOOKUP(C578,customers!$A$1:$A$1001,customers!$C$1:$C$1001,_xleta.N/A,0))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f t="shared" si="24"/>
        <v>17.91</v>
      </c>
      <c r="N578" t="str">
        <f t="shared" si="25"/>
        <v>Arabica</v>
      </c>
      <c r="O578" t="str">
        <f t="shared" si="26"/>
        <v>Dark</v>
      </c>
      <c r="P578" t="str">
        <f>_xlfn.XLOOKUP(Table1[[#This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cm="1">
        <f t="array" ref="G579">IF(_xlfn.XLOOKUP(C579,customers!$A$1:$A$1001,customers!$C$1:$C$1001,_xleta.N/A,0)=0,"",_xlfn.XLOOKUP(C579,customers!$A$1:$A$1001,customers!$C$1:$C$1001,_xleta.N/A,0))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f t="shared" ref="M579:M642" si="27">L579*E579</f>
        <v>58.2</v>
      </c>
      <c r="N579" t="str">
        <f t="shared" ref="N579:N642" si="28">IF(I579="ROB","Robusta",IF(I579="EXC","Excelsa",IF(I579="Ara","Arabica",IF(I579="lib","Liberica",""))))</f>
        <v>Liberica</v>
      </c>
      <c r="O579" t="str">
        <f t="shared" ref="O579:O642" si="29">IF(J579="M","Medium",IF(J579="L","Large",IF(J579="D","Dark","")))</f>
        <v>Medium</v>
      </c>
      <c r="P579" t="str">
        <f>_xlfn.XLOOKUP(Table1[[#This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cm="1">
        <f t="array" ref="G580">IF(_xlfn.XLOOKUP(C580,customers!$A$1:$A$1001,customers!$C$1:$C$1001,_xleta.N/A,0)=0,"",_xlfn.XLOOKUP(C580,customers!$A$1:$A$1001,customers!$C$1:$C$1001,_xleta.N/A,0))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f t="shared" si="27"/>
        <v>13.365</v>
      </c>
      <c r="N580" t="str">
        <f t="shared" si="28"/>
        <v>Excelsa</v>
      </c>
      <c r="O580" t="str">
        <f t="shared" si="29"/>
        <v>Large</v>
      </c>
      <c r="P580" t="str">
        <f>_xlfn.XLOOKUP(Table1[[#This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cm="1">
        <f t="array" ref="G581">IF(_xlfn.XLOOKUP(C581,customers!$A$1:$A$1001,customers!$C$1:$C$1001,_xleta.N/A,0)=0,"",_xlfn.XLOOKUP(C581,customers!$A$1:$A$1001,customers!$C$1:$C$1001,_xleta.N/A,0))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f t="shared" si="27"/>
        <v>33.75</v>
      </c>
      <c r="N581" t="str">
        <f t="shared" si="28"/>
        <v>Arabica</v>
      </c>
      <c r="O581" t="str">
        <f t="shared" si="29"/>
        <v>Medium</v>
      </c>
      <c r="P581" t="str">
        <f>_xlfn.XLOOKUP(Table1[[#This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cm="1">
        <f t="array" ref="G582">IF(_xlfn.XLOOKUP(C582,customers!$A$1:$A$1001,customers!$C$1:$C$1001,_xleta.N/A,0)=0,"",_xlfn.XLOOKUP(C582,customers!$A$1:$A$1001,customers!$C$1:$C$1001,_xleta.N/A,0))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f t="shared" si="27"/>
        <v>44.55</v>
      </c>
      <c r="N582" t="str">
        <f t="shared" si="28"/>
        <v>Excelsa</v>
      </c>
      <c r="O582" t="str">
        <f t="shared" si="29"/>
        <v>Large</v>
      </c>
      <c r="P582" t="str">
        <f>_xlfn.XLOOKUP(Table1[[#This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cm="1">
        <f t="array" ref="G583">IF(_xlfn.XLOOKUP(C583,customers!$A$1:$A$1001,customers!$C$1:$C$1001,_xleta.N/A,0)=0,"",_xlfn.XLOOKUP(C583,customers!$A$1:$A$1001,customers!$C$1:$C$1001,_xleta.N/A,0))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f t="shared" si="27"/>
        <v>44.55</v>
      </c>
      <c r="N583" t="str">
        <f t="shared" si="28"/>
        <v>Excelsa</v>
      </c>
      <c r="O583" t="str">
        <f t="shared" si="29"/>
        <v>Large</v>
      </c>
      <c r="P583" t="str">
        <f>_xlfn.XLOOKUP(Table1[[#This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cm="1">
        <f t="array" ref="G584">IF(_xlfn.XLOOKUP(C584,customers!$A$1:$A$1001,customers!$C$1:$C$1001,_xleta.N/A,0)=0,"",_xlfn.XLOOKUP(C584,customers!$A$1:$A$1001,customers!$C$1:$C$1001,_xleta.N/A,0))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f t="shared" si="27"/>
        <v>60.75</v>
      </c>
      <c r="N584" t="str">
        <f t="shared" si="28"/>
        <v>Excelsa</v>
      </c>
      <c r="O584" t="str">
        <f t="shared" si="29"/>
        <v>Dark</v>
      </c>
      <c r="P584" t="str">
        <f>_xlfn.XLOOKUP(Table1[[#This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cm="1">
        <f t="array" ref="G585">IF(_xlfn.XLOOKUP(C585,customers!$A$1:$A$1001,customers!$C$1:$C$1001,_xleta.N/A,0)=0,"",_xlfn.XLOOKUP(C585,customers!$A$1:$A$1001,customers!$C$1:$C$1001,_xleta.N/A,0))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f t="shared" si="27"/>
        <v>3.5849999999999995</v>
      </c>
      <c r="N585" t="str">
        <f t="shared" si="28"/>
        <v>Robusta</v>
      </c>
      <c r="O585" t="str">
        <f t="shared" si="29"/>
        <v>Large</v>
      </c>
      <c r="P585" t="str">
        <f>_xlfn.XLOOKUP(Table1[[#This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cm="1">
        <f t="array" ref="G586">IF(_xlfn.XLOOKUP(C586,customers!$A$1:$A$1001,customers!$C$1:$C$1001,_xleta.N/A,0)=0,"",_xlfn.XLOOKUP(C586,customers!$A$1:$A$1001,customers!$C$1:$C$1001,_xleta.N/A,0))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f t="shared" si="27"/>
        <v>21.509999999999998</v>
      </c>
      <c r="N586" t="str">
        <f t="shared" si="28"/>
        <v>Robusta</v>
      </c>
      <c r="O586" t="str">
        <f t="shared" si="29"/>
        <v>Large</v>
      </c>
      <c r="P586" t="str">
        <f>_xlfn.XLOOKUP(Table1[[#This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cm="1">
        <f t="array" ref="G587">IF(_xlfn.XLOOKUP(C587,customers!$A$1:$A$1001,customers!$C$1:$C$1001,_xleta.N/A,0)=0,"",_xlfn.XLOOKUP(C587,customers!$A$1:$A$1001,customers!$C$1:$C$1001,_xleta.N/A,0))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f t="shared" si="27"/>
        <v>16.5</v>
      </c>
      <c r="N587" t="str">
        <f t="shared" si="28"/>
        <v>Excelsa</v>
      </c>
      <c r="O587" t="str">
        <f t="shared" si="29"/>
        <v>Medium</v>
      </c>
      <c r="P587" t="str">
        <f>_xlfn.XLOOKUP(Table1[[#This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cm="1">
        <f t="array" ref="G588">IF(_xlfn.XLOOKUP(C588,customers!$A$1:$A$1001,customers!$C$1:$C$1001,_xleta.N/A,0)=0,"",_xlfn.XLOOKUP(C588,customers!$A$1:$A$1001,customers!$C$1:$C$1001,_xleta.N/A,0))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f t="shared" si="27"/>
        <v>82.454999999999984</v>
      </c>
      <c r="N588" t="str">
        <f t="shared" si="28"/>
        <v>Robusta</v>
      </c>
      <c r="O588" t="str">
        <f t="shared" si="29"/>
        <v>Large</v>
      </c>
      <c r="P588" t="str">
        <f>_xlfn.XLOOKUP(Table1[[#This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cm="1">
        <f t="array" ref="G589">IF(_xlfn.XLOOKUP(C589,customers!$A$1:$A$1001,customers!$C$1:$C$1001,_xleta.N/A,0)=0,"",_xlfn.XLOOKUP(C589,customers!$A$1:$A$1001,customers!$C$1:$C$1001,_xleta.N/A,0))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f t="shared" si="27"/>
        <v>7.77</v>
      </c>
      <c r="N589" t="str">
        <f t="shared" si="28"/>
        <v>Liberica</v>
      </c>
      <c r="O589" t="str">
        <f t="shared" si="29"/>
        <v>Dark</v>
      </c>
      <c r="P589" t="str">
        <f>_xlfn.XLOOKUP(Table1[[#This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cm="1">
        <f t="array" ref="G590">IF(_xlfn.XLOOKUP(C590,customers!$A$1:$A$1001,customers!$C$1:$C$1001,_xleta.N/A,0)=0,"",_xlfn.XLOOKUP(C590,customers!$A$1:$A$1001,customers!$C$1:$C$1001,_xleta.N/A,0))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f t="shared" si="27"/>
        <v>11.94</v>
      </c>
      <c r="N590" t="str">
        <f t="shared" si="28"/>
        <v>Robusta</v>
      </c>
      <c r="O590" t="str">
        <f t="shared" si="29"/>
        <v>Medium</v>
      </c>
      <c r="P590" t="str">
        <f>_xlfn.XLOOKUP(Table1[[#This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cm="1">
        <f t="array" ref="G591">IF(_xlfn.XLOOKUP(C591,customers!$A$1:$A$1001,customers!$C$1:$C$1001,_xleta.N/A,0)=0,"",_xlfn.XLOOKUP(C591,customers!$A$1:$A$1001,customers!$C$1:$C$1001,_xleta.N/A,0))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f t="shared" si="27"/>
        <v>204.92999999999995</v>
      </c>
      <c r="N591" t="str">
        <f t="shared" si="28"/>
        <v>Excelsa</v>
      </c>
      <c r="O591" t="str">
        <f t="shared" si="29"/>
        <v>Large</v>
      </c>
      <c r="P591" t="str">
        <f>_xlfn.XLOOKUP(Table1[[#This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cm="1">
        <f t="array" ref="G592">IF(_xlfn.XLOOKUP(C592,customers!$A$1:$A$1001,customers!$C$1:$C$1001,_xleta.N/A,0)=0,"",_xlfn.XLOOKUP(C592,customers!$A$1:$A$1001,customers!$C$1:$C$1001,_xleta.N/A,0))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f t="shared" si="27"/>
        <v>63.249999999999993</v>
      </c>
      <c r="N592" t="str">
        <f t="shared" si="28"/>
        <v>Excelsa</v>
      </c>
      <c r="O592" t="str">
        <f t="shared" si="29"/>
        <v>Medium</v>
      </c>
      <c r="P592" t="str">
        <f>_xlfn.XLOOKUP(Table1[[#This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cm="1">
        <f t="array" ref="G593">IF(_xlfn.XLOOKUP(C593,customers!$A$1:$A$1001,customers!$C$1:$C$1001,_xleta.N/A,0)=0,"",_xlfn.XLOOKUP(C593,customers!$A$1:$A$1001,customers!$C$1:$C$1001,_xleta.N/A,0))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f t="shared" si="27"/>
        <v>8.0549999999999997</v>
      </c>
      <c r="N593" t="str">
        <f t="shared" si="28"/>
        <v>Robusta</v>
      </c>
      <c r="O593" t="str">
        <f t="shared" si="29"/>
        <v>Dark</v>
      </c>
      <c r="P593" t="str">
        <f>_xlfn.XLOOKUP(Table1[[#This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cm="1">
        <f t="array" ref="G594">IF(_xlfn.XLOOKUP(C594,customers!$A$1:$A$1001,customers!$C$1:$C$1001,_xleta.N/A,0)=0,"",_xlfn.XLOOKUP(C594,customers!$A$1:$A$1001,customers!$C$1:$C$1001,_xleta.N/A,0))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f t="shared" si="27"/>
        <v>51.749999999999993</v>
      </c>
      <c r="N594" t="str">
        <f t="shared" si="28"/>
        <v>Arabica</v>
      </c>
      <c r="O594" t="str">
        <f t="shared" si="29"/>
        <v>Medium</v>
      </c>
      <c r="P594" t="str">
        <f>_xlfn.XLOOKUP(Table1[[#This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cm="1">
        <f t="array" ref="G595">IF(_xlfn.XLOOKUP(C595,customers!$A$1:$A$1001,customers!$C$1:$C$1001,_xleta.N/A,0)=0,"",_xlfn.XLOOKUP(C595,customers!$A$1:$A$1001,customers!$C$1:$C$1001,_xleta.N/A,0))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f t="shared" si="27"/>
        <v>27.945</v>
      </c>
      <c r="N595" t="str">
        <f t="shared" si="28"/>
        <v>Excelsa</v>
      </c>
      <c r="O595" t="str">
        <f t="shared" si="29"/>
        <v>Dark</v>
      </c>
      <c r="P595" t="str">
        <f>_xlfn.XLOOKUP(Table1[[#This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cm="1">
        <f t="array" ref="G596">IF(_xlfn.XLOOKUP(C596,customers!$A$1:$A$1001,customers!$C$1:$C$1001,_xleta.N/A,0)=0,"",_xlfn.XLOOKUP(C596,customers!$A$1:$A$1001,customers!$C$1:$C$1001,_xleta.N/A,0))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f t="shared" si="27"/>
        <v>59.569999999999993</v>
      </c>
      <c r="N596" t="str">
        <f t="shared" si="28"/>
        <v>Arabica</v>
      </c>
      <c r="O596" t="str">
        <f t="shared" si="29"/>
        <v>Large</v>
      </c>
      <c r="P596" t="str">
        <f>_xlfn.XLOOKUP(Table1[[#This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cm="1">
        <f t="array" ref="G597">IF(_xlfn.XLOOKUP(C597,customers!$A$1:$A$1001,customers!$C$1:$C$1001,_xleta.N/A,0)=0,"",_xlfn.XLOOKUP(C597,customers!$A$1:$A$1001,customers!$C$1:$C$1001,_xleta.N/A,0))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f t="shared" si="27"/>
        <v>14.85</v>
      </c>
      <c r="N597" t="str">
        <f t="shared" si="28"/>
        <v>Excelsa</v>
      </c>
      <c r="O597" t="str">
        <f t="shared" si="29"/>
        <v>Large</v>
      </c>
      <c r="P597" t="str">
        <f>_xlfn.XLOOKUP(Table1[[#This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cm="1">
        <f t="array" ref="G598">IF(_xlfn.XLOOKUP(C598,customers!$A$1:$A$1001,customers!$C$1:$C$1001,_xleta.N/A,0)=0,"",_xlfn.XLOOKUP(C598,customers!$A$1:$A$1001,customers!$C$1:$C$1001,_xleta.N/A,0))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f t="shared" si="27"/>
        <v>33.75</v>
      </c>
      <c r="N598" t="str">
        <f t="shared" si="28"/>
        <v>Arabica</v>
      </c>
      <c r="O598" t="str">
        <f t="shared" si="29"/>
        <v>Medium</v>
      </c>
      <c r="P598" t="str">
        <f>_xlfn.XLOOKUP(Table1[[#This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cm="1">
        <f t="array" ref="G599">IF(_xlfn.XLOOKUP(C599,customers!$A$1:$A$1001,customers!$C$1:$C$1001,_xleta.N/A,0)=0,"",_xlfn.XLOOKUP(C599,customers!$A$1:$A$1001,customers!$C$1:$C$1001,_xleta.N/A,0))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f t="shared" si="27"/>
        <v>145.82</v>
      </c>
      <c r="N599" t="str">
        <f t="shared" si="28"/>
        <v>Liberica</v>
      </c>
      <c r="O599" t="str">
        <f t="shared" si="29"/>
        <v>Large</v>
      </c>
      <c r="P599" t="str">
        <f>_xlfn.XLOOKUP(Table1[[#This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cm="1">
        <f t="array" ref="G600">IF(_xlfn.XLOOKUP(C600,customers!$A$1:$A$1001,customers!$C$1:$C$1001,_xleta.N/A,0)=0,"",_xlfn.XLOOKUP(C600,customers!$A$1:$A$1001,customers!$C$1:$C$1001,_xleta.N/A,0))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f t="shared" si="27"/>
        <v>11.94</v>
      </c>
      <c r="N600" t="str">
        <f t="shared" si="28"/>
        <v>Robusta</v>
      </c>
      <c r="O600" t="str">
        <f t="shared" si="29"/>
        <v>Medium</v>
      </c>
      <c r="P600" t="str">
        <f>_xlfn.XLOOKUP(Table1[[#This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cm="1">
        <f t="array" ref="G601">IF(_xlfn.XLOOKUP(C601,customers!$A$1:$A$1001,customers!$C$1:$C$1001,_xleta.N/A,0)=0,"",_xlfn.XLOOKUP(C601,customers!$A$1:$A$1001,customers!$C$1:$C$1001,_xleta.N/A,0))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f t="shared" si="27"/>
        <v>11.94</v>
      </c>
      <c r="N601" t="str">
        <f t="shared" si="28"/>
        <v>Arabica</v>
      </c>
      <c r="O601" t="str">
        <f t="shared" si="29"/>
        <v>Dark</v>
      </c>
      <c r="P601" t="str">
        <f>_xlfn.XLOOKUP(Table1[[#This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cm="1">
        <f t="array" ref="G602">IF(_xlfn.XLOOKUP(C602,customers!$A$1:$A$1001,customers!$C$1:$C$1001,_xleta.N/A,0)=0,"",_xlfn.XLOOKUP(C602,customers!$A$1:$A$1001,customers!$C$1:$C$1001,_xleta.N/A,0))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f t="shared" si="27"/>
        <v>7.77</v>
      </c>
      <c r="N602" t="str">
        <f t="shared" si="28"/>
        <v>Liberica</v>
      </c>
      <c r="O602" t="str">
        <f t="shared" si="29"/>
        <v>Dark</v>
      </c>
      <c r="P602" t="str">
        <f>_xlfn.XLOOKUP(Table1[[#This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cm="1">
        <f t="array" ref="G603">IF(_xlfn.XLOOKUP(C603,customers!$A$1:$A$1001,customers!$C$1:$C$1001,_xleta.N/A,0)=0,"",_xlfn.XLOOKUP(C603,customers!$A$1:$A$1001,customers!$C$1:$C$1001,_xleta.N/A,0))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f t="shared" si="27"/>
        <v>109.93999999999998</v>
      </c>
      <c r="N603" t="str">
        <f t="shared" si="28"/>
        <v>Robusta</v>
      </c>
      <c r="O603" t="str">
        <f t="shared" si="29"/>
        <v>Large</v>
      </c>
      <c r="P603" t="str">
        <f>_xlfn.XLOOKUP(Table1[[#This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cm="1">
        <f t="array" ref="G604">IF(_xlfn.XLOOKUP(C604,customers!$A$1:$A$1001,customers!$C$1:$C$1001,_xleta.N/A,0)=0,"",_xlfn.XLOOKUP(C604,customers!$A$1:$A$1001,customers!$C$1:$C$1001,_xleta.N/A,0))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f t="shared" si="27"/>
        <v>22.274999999999999</v>
      </c>
      <c r="N604" t="str">
        <f t="shared" si="28"/>
        <v>Excelsa</v>
      </c>
      <c r="O604" t="str">
        <f t="shared" si="29"/>
        <v>Large</v>
      </c>
      <c r="P604" t="str">
        <f>_xlfn.XLOOKUP(Table1[[#This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cm="1">
        <f t="array" ref="G605">IF(_xlfn.XLOOKUP(C605,customers!$A$1:$A$1001,customers!$C$1:$C$1001,_xleta.N/A,0)=0,"",_xlfn.XLOOKUP(C605,customers!$A$1:$A$1001,customers!$C$1:$C$1001,_xleta.N/A,0))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f t="shared" si="27"/>
        <v>8.9550000000000001</v>
      </c>
      <c r="N605" t="str">
        <f t="shared" si="28"/>
        <v>Robusta</v>
      </c>
      <c r="O605" t="str">
        <f t="shared" si="29"/>
        <v>Medium</v>
      </c>
      <c r="P605" t="str">
        <f>_xlfn.XLOOKUP(Table1[[#This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cm="1">
        <f t="array" ref="G606">IF(_xlfn.XLOOKUP(C606,customers!$A$1:$A$1001,customers!$C$1:$C$1001,_xleta.N/A,0)=0,"",_xlfn.XLOOKUP(C606,customers!$A$1:$A$1001,customers!$C$1:$C$1001,_xleta.N/A,0))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f t="shared" si="27"/>
        <v>119.13999999999999</v>
      </c>
      <c r="N606" t="str">
        <f t="shared" si="28"/>
        <v>Liberica</v>
      </c>
      <c r="O606" t="str">
        <f t="shared" si="29"/>
        <v>Dark</v>
      </c>
      <c r="P606" t="str">
        <f>_xlfn.XLOOKUP(Table1[[#This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cm="1">
        <f t="array" ref="G607">IF(_xlfn.XLOOKUP(C607,customers!$A$1:$A$1001,customers!$C$1:$C$1001,_xleta.N/A,0)=0,"",_xlfn.XLOOKUP(C607,customers!$A$1:$A$1001,customers!$C$1:$C$1001,_xleta.N/A,0))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f t="shared" si="27"/>
        <v>148.92499999999998</v>
      </c>
      <c r="N607" t="str">
        <f t="shared" si="28"/>
        <v>Arabica</v>
      </c>
      <c r="O607" t="str">
        <f t="shared" si="29"/>
        <v>Large</v>
      </c>
      <c r="P607" t="str">
        <f>_xlfn.XLOOKUP(Table1[[#This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cm="1">
        <f t="array" ref="G608">IF(_xlfn.XLOOKUP(C608,customers!$A$1:$A$1001,customers!$C$1:$C$1001,_xleta.N/A,0)=0,"",_xlfn.XLOOKUP(C608,customers!$A$1:$A$1001,customers!$C$1:$C$1001,_xleta.N/A,0))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f t="shared" si="27"/>
        <v>109.36499999999999</v>
      </c>
      <c r="N608" t="str">
        <f t="shared" si="28"/>
        <v>Liberica</v>
      </c>
      <c r="O608" t="str">
        <f t="shared" si="29"/>
        <v>Large</v>
      </c>
      <c r="P608" t="str">
        <f>_xlfn.XLOOKUP(Table1[[#This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cm="1">
        <f t="array" ref="G609">IF(_xlfn.XLOOKUP(C609,customers!$A$1:$A$1001,customers!$C$1:$C$1001,_xleta.N/A,0)=0,"",_xlfn.XLOOKUP(C609,customers!$A$1:$A$1001,customers!$C$1:$C$1001,_xleta.N/A,0))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f t="shared" si="27"/>
        <v>3.645</v>
      </c>
      <c r="N609" t="str">
        <f t="shared" si="28"/>
        <v>Excelsa</v>
      </c>
      <c r="O609" t="str">
        <f t="shared" si="29"/>
        <v>Dark</v>
      </c>
      <c r="P609" t="str">
        <f>_xlfn.XLOOKUP(Table1[[#This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cm="1">
        <f t="array" ref="G610">IF(_xlfn.XLOOKUP(C610,customers!$A$1:$A$1001,customers!$C$1:$C$1001,_xleta.N/A,0)=0,"",_xlfn.XLOOKUP(C610,customers!$A$1:$A$1001,customers!$C$1:$C$1001,_xleta.N/A,0))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f t="shared" si="27"/>
        <v>55.89</v>
      </c>
      <c r="N610" t="str">
        <f t="shared" si="28"/>
        <v>Excelsa</v>
      </c>
      <c r="O610" t="str">
        <f t="shared" si="29"/>
        <v>Dark</v>
      </c>
      <c r="P610" t="str">
        <f>_xlfn.XLOOKUP(Table1[[#This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cm="1">
        <f t="array" ref="G611">IF(_xlfn.XLOOKUP(C611,customers!$A$1:$A$1001,customers!$C$1:$C$1001,_xleta.N/A,0)=0,"",_xlfn.XLOOKUP(C611,customers!$A$1:$A$1001,customers!$C$1:$C$1001,_xleta.N/A,0))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f t="shared" si="27"/>
        <v>26.19</v>
      </c>
      <c r="N611" t="str">
        <f t="shared" si="28"/>
        <v>Liberica</v>
      </c>
      <c r="O611" t="str">
        <f t="shared" si="29"/>
        <v>Medium</v>
      </c>
      <c r="P611" t="str">
        <f>_xlfn.XLOOKUP(Table1[[#This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cm="1">
        <f t="array" ref="G612">IF(_xlfn.XLOOKUP(C612,customers!$A$1:$A$1001,customers!$C$1:$C$1001,_xleta.N/A,0)=0,"",_xlfn.XLOOKUP(C612,customers!$A$1:$A$1001,customers!$C$1:$C$1001,_xleta.N/A,0))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f t="shared" si="27"/>
        <v>39.799999999999997</v>
      </c>
      <c r="N612" t="str">
        <f t="shared" si="28"/>
        <v>Robusta</v>
      </c>
      <c r="O612" t="str">
        <f t="shared" si="29"/>
        <v>Medium</v>
      </c>
      <c r="P612" t="str">
        <f>_xlfn.XLOOKUP(Table1[[#This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cm="1">
        <f t="array" ref="G613">IF(_xlfn.XLOOKUP(C613,customers!$A$1:$A$1001,customers!$C$1:$C$1001,_xleta.N/A,0)=0,"",_xlfn.XLOOKUP(C613,customers!$A$1:$A$1001,customers!$C$1:$C$1001,_xleta.N/A,0))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f t="shared" si="27"/>
        <v>68.309999999999988</v>
      </c>
      <c r="N613" t="str">
        <f t="shared" si="28"/>
        <v>Excelsa</v>
      </c>
      <c r="O613" t="str">
        <f t="shared" si="29"/>
        <v>Large</v>
      </c>
      <c r="P613" t="str">
        <f>_xlfn.XLOOKUP(Table1[[#This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cm="1">
        <f t="array" ref="G614">IF(_xlfn.XLOOKUP(C614,customers!$A$1:$A$1001,customers!$C$1:$C$1001,_xleta.N/A,0)=0,"",_xlfn.XLOOKUP(C614,customers!$A$1:$A$1001,customers!$C$1:$C$1001,_xleta.N/A,0))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f t="shared" si="27"/>
        <v>13.5</v>
      </c>
      <c r="N614" t="str">
        <f t="shared" si="28"/>
        <v>Arabica</v>
      </c>
      <c r="O614" t="str">
        <f t="shared" si="29"/>
        <v>Medium</v>
      </c>
      <c r="P614" t="str">
        <f>_xlfn.XLOOKUP(Table1[[#This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cm="1">
        <f t="array" ref="G615">IF(_xlfn.XLOOKUP(C615,customers!$A$1:$A$1001,customers!$C$1:$C$1001,_xleta.N/A,0)=0,"",_xlfn.XLOOKUP(C615,customers!$A$1:$A$1001,customers!$C$1:$C$1001,_xleta.N/A,0))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f t="shared" si="27"/>
        <v>5.97</v>
      </c>
      <c r="N615" t="str">
        <f t="shared" si="28"/>
        <v>Robusta</v>
      </c>
      <c r="O615" t="str">
        <f t="shared" si="29"/>
        <v>Medium</v>
      </c>
      <c r="P615" t="str">
        <f>_xlfn.XLOOKUP(Table1[[#This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cm="1">
        <f t="array" ref="G616">IF(_xlfn.XLOOKUP(C616,customers!$A$1:$A$1001,customers!$C$1:$C$1001,_xleta.N/A,0)=0,"",_xlfn.XLOOKUP(C616,customers!$A$1:$A$1001,customers!$C$1:$C$1001,_xleta.N/A,0))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f t="shared" si="27"/>
        <v>29.849999999999998</v>
      </c>
      <c r="N616" t="str">
        <f t="shared" si="28"/>
        <v>Robusta</v>
      </c>
      <c r="O616" t="str">
        <f t="shared" si="29"/>
        <v>Medium</v>
      </c>
      <c r="P616" t="str">
        <f>_xlfn.XLOOKUP(Table1[[#This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cm="1">
        <f t="array" ref="G617">IF(_xlfn.XLOOKUP(C617,customers!$A$1:$A$1001,customers!$C$1:$C$1001,_xleta.N/A,0)=0,"",_xlfn.XLOOKUP(C617,customers!$A$1:$A$1001,customers!$C$1:$C$1001,_xleta.N/A,0))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f t="shared" si="27"/>
        <v>72.91</v>
      </c>
      <c r="N617" t="str">
        <f t="shared" si="28"/>
        <v>Liberica</v>
      </c>
      <c r="O617" t="str">
        <f t="shared" si="29"/>
        <v>Large</v>
      </c>
      <c r="P617" t="str">
        <f>_xlfn.XLOOKUP(Table1[[#This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cm="1">
        <f t="array" ref="G618">IF(_xlfn.XLOOKUP(C618,customers!$A$1:$A$1001,customers!$C$1:$C$1001,_xleta.N/A,0)=0,"",_xlfn.XLOOKUP(C618,customers!$A$1:$A$1001,customers!$C$1:$C$1001,_xleta.N/A,0))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f t="shared" si="27"/>
        <v>126.49999999999999</v>
      </c>
      <c r="N618" t="str">
        <f t="shared" si="28"/>
        <v>Excelsa</v>
      </c>
      <c r="O618" t="str">
        <f t="shared" si="29"/>
        <v>Medium</v>
      </c>
      <c r="P618" t="str">
        <f>_xlfn.XLOOKUP(Table1[[#This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cm="1">
        <f t="array" ref="G619">IF(_xlfn.XLOOKUP(C619,customers!$A$1:$A$1001,customers!$C$1:$C$1001,_xleta.N/A,0)=0,"",_xlfn.XLOOKUP(C619,customers!$A$1:$A$1001,customers!$C$1:$C$1001,_xleta.N/A,0))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f t="shared" si="27"/>
        <v>33.464999999999996</v>
      </c>
      <c r="N619" t="str">
        <f t="shared" si="28"/>
        <v>Liberica</v>
      </c>
      <c r="O619" t="str">
        <f t="shared" si="29"/>
        <v>Medium</v>
      </c>
      <c r="P619" t="str">
        <f>_xlfn.XLOOKUP(Table1[[#This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cm="1">
        <f t="array" ref="G620">IF(_xlfn.XLOOKUP(C620,customers!$A$1:$A$1001,customers!$C$1:$C$1001,_xleta.N/A,0)=0,"",_xlfn.XLOOKUP(C620,customers!$A$1:$A$1001,customers!$C$1:$C$1001,_xleta.N/A,0))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f t="shared" si="27"/>
        <v>72.900000000000006</v>
      </c>
      <c r="N620" t="str">
        <f t="shared" si="28"/>
        <v>Excelsa</v>
      </c>
      <c r="O620" t="str">
        <f t="shared" si="29"/>
        <v>Dark</v>
      </c>
      <c r="P620" t="str">
        <f>_xlfn.XLOOKUP(Table1[[#This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cm="1">
        <f t="array" ref="G621">IF(_xlfn.XLOOKUP(C621,customers!$A$1:$A$1001,customers!$C$1:$C$1001,_xleta.N/A,0)=0,"",_xlfn.XLOOKUP(C621,customers!$A$1:$A$1001,customers!$C$1:$C$1001,_xleta.N/A,0))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f t="shared" si="27"/>
        <v>15.54</v>
      </c>
      <c r="N621" t="str">
        <f t="shared" si="28"/>
        <v>Liberica</v>
      </c>
      <c r="O621" t="str">
        <f t="shared" si="29"/>
        <v>Dark</v>
      </c>
      <c r="P621" t="str">
        <f>_xlfn.XLOOKUP(Table1[[#This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cm="1">
        <f t="array" ref="G622">IF(_xlfn.XLOOKUP(C622,customers!$A$1:$A$1001,customers!$C$1:$C$1001,_xleta.N/A,0)=0,"",_xlfn.XLOOKUP(C622,customers!$A$1:$A$1001,customers!$C$1:$C$1001,_xleta.N/A,0))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f t="shared" si="27"/>
        <v>20.25</v>
      </c>
      <c r="N622" t="str">
        <f t="shared" si="28"/>
        <v>Arabica</v>
      </c>
      <c r="O622" t="str">
        <f t="shared" si="29"/>
        <v>Medium</v>
      </c>
      <c r="P622" t="str">
        <f>_xlfn.XLOOKUP(Table1[[#This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cm="1">
        <f t="array" ref="G623">IF(_xlfn.XLOOKUP(C623,customers!$A$1:$A$1001,customers!$C$1:$C$1001,_xleta.N/A,0)=0,"",_xlfn.XLOOKUP(C623,customers!$A$1:$A$1001,customers!$C$1:$C$1001,_xleta.N/A,0))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f t="shared" si="27"/>
        <v>77.699999999999989</v>
      </c>
      <c r="N623" t="str">
        <f t="shared" si="28"/>
        <v>Arabica</v>
      </c>
      <c r="O623" t="str">
        <f t="shared" si="29"/>
        <v>Large</v>
      </c>
      <c r="P623" t="str">
        <f>_xlfn.XLOOKUP(Table1[[#This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cm="1">
        <f t="array" ref="G624">IF(_xlfn.XLOOKUP(C624,customers!$A$1:$A$1001,customers!$C$1:$C$1001,_xleta.N/A,0)=0,"",_xlfn.XLOOKUP(C624,customers!$A$1:$A$1001,customers!$C$1:$C$1001,_xleta.N/A,0))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f t="shared" si="27"/>
        <v>133.85999999999999</v>
      </c>
      <c r="N624" t="str">
        <f t="shared" si="28"/>
        <v>Liberica</v>
      </c>
      <c r="O624" t="str">
        <f t="shared" si="29"/>
        <v>Medium</v>
      </c>
      <c r="P624" t="str">
        <f>_xlfn.XLOOKUP(Table1[[#This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cm="1">
        <f t="array" ref="G625">IF(_xlfn.XLOOKUP(C625,customers!$A$1:$A$1001,customers!$C$1:$C$1001,_xleta.N/A,0)=0,"",_xlfn.XLOOKUP(C625,customers!$A$1:$A$1001,customers!$C$1:$C$1001,_xleta.N/A,0))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f t="shared" si="27"/>
        <v>12.15</v>
      </c>
      <c r="N625" t="str">
        <f t="shared" si="28"/>
        <v>Excelsa</v>
      </c>
      <c r="O625" t="str">
        <f t="shared" si="29"/>
        <v>Dark</v>
      </c>
      <c r="P625" t="str">
        <f>_xlfn.XLOOKUP(Table1[[#This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cm="1">
        <f t="array" ref="G626">IF(_xlfn.XLOOKUP(C626,customers!$A$1:$A$1001,customers!$C$1:$C$1001,_xleta.N/A,0)=0,"",_xlfn.XLOOKUP(C626,customers!$A$1:$A$1001,customers!$C$1:$C$1001,_xleta.N/A,0))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f t="shared" si="27"/>
        <v>63.249999999999993</v>
      </c>
      <c r="N626" t="str">
        <f t="shared" si="28"/>
        <v>Excelsa</v>
      </c>
      <c r="O626" t="str">
        <f t="shared" si="29"/>
        <v>Medium</v>
      </c>
      <c r="P626" t="str">
        <f>_xlfn.XLOOKUP(Table1[[#This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cm="1">
        <f t="array" ref="G627">IF(_xlfn.XLOOKUP(C627,customers!$A$1:$A$1001,customers!$C$1:$C$1001,_xleta.N/A,0)=0,"",_xlfn.XLOOKUP(C627,customers!$A$1:$A$1001,customers!$C$1:$C$1001,_xleta.N/A,0))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f t="shared" si="27"/>
        <v>35.849999999999994</v>
      </c>
      <c r="N627" t="str">
        <f t="shared" si="28"/>
        <v>Robusta</v>
      </c>
      <c r="O627" t="str">
        <f t="shared" si="29"/>
        <v>Large</v>
      </c>
      <c r="P627" t="str">
        <f>_xlfn.XLOOKUP(Table1[[#This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cm="1">
        <f t="array" ref="G628">IF(_xlfn.XLOOKUP(C628,customers!$A$1:$A$1001,customers!$C$1:$C$1001,_xleta.N/A,0)=0,"",_xlfn.XLOOKUP(C628,customers!$A$1:$A$1001,customers!$C$1:$C$1001,_xleta.N/A,0))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f t="shared" si="27"/>
        <v>77.624999999999986</v>
      </c>
      <c r="N628" t="str">
        <f t="shared" si="28"/>
        <v>Arabica</v>
      </c>
      <c r="O628" t="str">
        <f t="shared" si="29"/>
        <v>Medium</v>
      </c>
      <c r="P628" t="str">
        <f>_xlfn.XLOOKUP(Table1[[#This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cm="1">
        <f t="array" ref="G629">IF(_xlfn.XLOOKUP(C629,customers!$A$1:$A$1001,customers!$C$1:$C$1001,_xleta.N/A,0)=0,"",_xlfn.XLOOKUP(C629,customers!$A$1:$A$1001,customers!$C$1:$C$1001,_xleta.N/A,0))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f t="shared" si="27"/>
        <v>63.249999999999993</v>
      </c>
      <c r="N629" t="str">
        <f t="shared" si="28"/>
        <v>Excelsa</v>
      </c>
      <c r="O629" t="str">
        <f t="shared" si="29"/>
        <v>Medium</v>
      </c>
      <c r="P629" t="str">
        <f>_xlfn.XLOOKUP(Table1[[#This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cm="1">
        <f t="array" ref="G630">IF(_xlfn.XLOOKUP(C630,customers!$A$1:$A$1001,customers!$C$1:$C$1001,_xleta.N/A,0)=0,"",_xlfn.XLOOKUP(C630,customers!$A$1:$A$1001,customers!$C$1:$C$1001,_xleta.N/A,0))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f t="shared" si="27"/>
        <v>26.73</v>
      </c>
      <c r="N630" t="str">
        <f t="shared" si="28"/>
        <v>Excelsa</v>
      </c>
      <c r="O630" t="str">
        <f t="shared" si="29"/>
        <v>Large</v>
      </c>
      <c r="P630" t="str">
        <f>_xlfn.XLOOKUP(Table1[[#This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cm="1">
        <f t="array" ref="G631">IF(_xlfn.XLOOKUP(C631,customers!$A$1:$A$1001,customers!$C$1:$C$1001,_xleta.N/A,0)=0,"",_xlfn.XLOOKUP(C631,customers!$A$1:$A$1001,customers!$C$1:$C$1001,_xleta.N/A,0))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f t="shared" si="27"/>
        <v>31.08</v>
      </c>
      <c r="N631" t="str">
        <f t="shared" si="28"/>
        <v>Liberica</v>
      </c>
      <c r="O631" t="str">
        <f t="shared" si="29"/>
        <v>Dark</v>
      </c>
      <c r="P631" t="str">
        <f>_xlfn.XLOOKUP(Table1[[#This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cm="1">
        <f t="array" ref="G632">IF(_xlfn.XLOOKUP(C632,customers!$A$1:$A$1001,customers!$C$1:$C$1001,_xleta.N/A,0)=0,"",_xlfn.XLOOKUP(C632,customers!$A$1:$A$1001,customers!$C$1:$C$1001,_xleta.N/A,0))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f t="shared" si="27"/>
        <v>2.9849999999999999</v>
      </c>
      <c r="N632" t="str">
        <f t="shared" si="28"/>
        <v>Arabica</v>
      </c>
      <c r="O632" t="str">
        <f t="shared" si="29"/>
        <v>Dark</v>
      </c>
      <c r="P632" t="str">
        <f>_xlfn.XLOOKUP(Table1[[#This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cm="1">
        <f t="array" ref="G633">IF(_xlfn.XLOOKUP(C633,customers!$A$1:$A$1001,customers!$C$1:$C$1001,_xleta.N/A,0)=0,"",_xlfn.XLOOKUP(C633,customers!$A$1:$A$1001,customers!$C$1:$C$1001,_xleta.N/A,0))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f t="shared" si="27"/>
        <v>102.92499999999998</v>
      </c>
      <c r="N633" t="str">
        <f t="shared" si="28"/>
        <v>Robusta</v>
      </c>
      <c r="O633" t="str">
        <f t="shared" si="29"/>
        <v>Dark</v>
      </c>
      <c r="P633" t="str">
        <f>_xlfn.XLOOKUP(Table1[[#This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cm="1">
        <f t="array" ref="G634">IF(_xlfn.XLOOKUP(C634,customers!$A$1:$A$1001,customers!$C$1:$C$1001,_xleta.N/A,0)=0,"",_xlfn.XLOOKUP(C634,customers!$A$1:$A$1001,customers!$C$1:$C$1001,_xleta.N/A,0))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f t="shared" si="27"/>
        <v>35.64</v>
      </c>
      <c r="N634" t="str">
        <f t="shared" si="28"/>
        <v>Excelsa</v>
      </c>
      <c r="O634" t="str">
        <f t="shared" si="29"/>
        <v>Large</v>
      </c>
      <c r="P634" t="str">
        <f>_xlfn.XLOOKUP(Table1[[#This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cm="1">
        <f t="array" ref="G635">IF(_xlfn.XLOOKUP(C635,customers!$A$1:$A$1001,customers!$C$1:$C$1001,_xleta.N/A,0)=0,"",_xlfn.XLOOKUP(C635,customers!$A$1:$A$1001,customers!$C$1:$C$1001,_xleta.N/A,0))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f t="shared" si="27"/>
        <v>47.8</v>
      </c>
      <c r="N635" t="str">
        <f t="shared" si="28"/>
        <v>Robusta</v>
      </c>
      <c r="O635" t="str">
        <f t="shared" si="29"/>
        <v>Large</v>
      </c>
      <c r="P635" t="str">
        <f>_xlfn.XLOOKUP(Table1[[#This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cm="1">
        <f t="array" ref="G636">IF(_xlfn.XLOOKUP(C636,customers!$A$1:$A$1001,customers!$C$1:$C$1001,_xleta.N/A,0)=0,"",_xlfn.XLOOKUP(C636,customers!$A$1:$A$1001,customers!$C$1:$C$1001,_xleta.N/A,0))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f t="shared" si="27"/>
        <v>43.650000000000006</v>
      </c>
      <c r="N636" t="str">
        <f t="shared" si="28"/>
        <v>Liberica</v>
      </c>
      <c r="O636" t="str">
        <f t="shared" si="29"/>
        <v>Medium</v>
      </c>
      <c r="P636" t="str">
        <f>_xlfn.XLOOKUP(Table1[[#This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cm="1">
        <f t="array" ref="G637">IF(_xlfn.XLOOKUP(C637,customers!$A$1:$A$1001,customers!$C$1:$C$1001,_xleta.N/A,0)=0,"",_xlfn.XLOOKUP(C637,customers!$A$1:$A$1001,customers!$C$1:$C$1001,_xleta.N/A,0))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f t="shared" si="27"/>
        <v>35.64</v>
      </c>
      <c r="N637" t="str">
        <f t="shared" si="28"/>
        <v>Excelsa</v>
      </c>
      <c r="O637" t="str">
        <f t="shared" si="29"/>
        <v>Large</v>
      </c>
      <c r="P637" t="str">
        <f>_xlfn.XLOOKUP(Table1[[#This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cm="1">
        <f t="array" ref="G638">IF(_xlfn.XLOOKUP(C638,customers!$A$1:$A$1001,customers!$C$1:$C$1001,_xleta.N/A,0)=0,"",_xlfn.XLOOKUP(C638,customers!$A$1:$A$1001,customers!$C$1:$C$1001,_xleta.N/A,0))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f t="shared" si="27"/>
        <v>95.1</v>
      </c>
      <c r="N638" t="str">
        <f t="shared" si="28"/>
        <v>Liberica</v>
      </c>
      <c r="O638" t="str">
        <f t="shared" si="29"/>
        <v>Large</v>
      </c>
      <c r="P638" t="str">
        <f>_xlfn.XLOOKUP(Table1[[#This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cm="1">
        <f t="array" ref="G639">IF(_xlfn.XLOOKUP(C639,customers!$A$1:$A$1001,customers!$C$1:$C$1001,_xleta.N/A,0)=0,"",_xlfn.XLOOKUP(C639,customers!$A$1:$A$1001,customers!$C$1:$C$1001,_xleta.N/A,0))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f t="shared" si="27"/>
        <v>31.624999999999996</v>
      </c>
      <c r="N639" t="str">
        <f t="shared" si="28"/>
        <v>Excelsa</v>
      </c>
      <c r="O639" t="str">
        <f t="shared" si="29"/>
        <v>Medium</v>
      </c>
      <c r="P639" t="str">
        <f>_xlfn.XLOOKUP(Table1[[#This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cm="1">
        <f t="array" ref="G640">IF(_xlfn.XLOOKUP(C640,customers!$A$1:$A$1001,customers!$C$1:$C$1001,_xleta.N/A,0)=0,"",_xlfn.XLOOKUP(C640,customers!$A$1:$A$1001,customers!$C$1:$C$1001,_xleta.N/A,0))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f t="shared" si="27"/>
        <v>77.624999999999986</v>
      </c>
      <c r="N640" t="str">
        <f t="shared" si="28"/>
        <v>Arabica</v>
      </c>
      <c r="O640" t="str">
        <f t="shared" si="29"/>
        <v>Medium</v>
      </c>
      <c r="P640" t="str">
        <f>_xlfn.XLOOKUP(Table1[[#This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cm="1">
        <f t="array" ref="G641">IF(_xlfn.XLOOKUP(C641,customers!$A$1:$A$1001,customers!$C$1:$C$1001,_xleta.N/A,0)=0,"",_xlfn.XLOOKUP(C641,customers!$A$1:$A$1001,customers!$C$1:$C$1001,_xleta.N/A,0))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f t="shared" si="27"/>
        <v>3.8849999999999998</v>
      </c>
      <c r="N641" t="str">
        <f t="shared" si="28"/>
        <v>Liberica</v>
      </c>
      <c r="O641" t="str">
        <f t="shared" si="29"/>
        <v>Dark</v>
      </c>
      <c r="P641" t="str">
        <f>_xlfn.XLOOKUP(Table1[[#This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cm="1">
        <f t="array" ref="G642">IF(_xlfn.XLOOKUP(C642,customers!$A$1:$A$1001,customers!$C$1:$C$1001,_xleta.N/A,0)=0,"",_xlfn.XLOOKUP(C642,customers!$A$1:$A$1001,customers!$C$1:$C$1001,_xleta.N/A,0))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f t="shared" si="27"/>
        <v>137.42499999999998</v>
      </c>
      <c r="N642" t="str">
        <f t="shared" si="28"/>
        <v>Robusta</v>
      </c>
      <c r="O642" t="str">
        <f t="shared" si="29"/>
        <v>Large</v>
      </c>
      <c r="P642" t="str">
        <f>_xlfn.XLOOKUP(Table1[[#This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cm="1">
        <f t="array" ref="G643">IF(_xlfn.XLOOKUP(C643,customers!$A$1:$A$1001,customers!$C$1:$C$1001,_xleta.N/A,0)=0,"",_xlfn.XLOOKUP(C643,customers!$A$1:$A$1001,customers!$C$1:$C$1001,_xleta.N/A,0))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_xlfn.XLOOKUP(Table1[[#This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cm="1">
        <f t="array" ref="G644">IF(_xlfn.XLOOKUP(C644,customers!$A$1:$A$1001,customers!$C$1:$C$1001,_xleta.N/A,0)=0,"",_xlfn.XLOOKUP(C644,customers!$A$1:$A$1001,customers!$C$1:$C$1001,_xleta.N/A,0))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f t="shared" si="30"/>
        <v>8.25</v>
      </c>
      <c r="N644" t="str">
        <f t="shared" si="31"/>
        <v>Excelsa</v>
      </c>
      <c r="O644" t="str">
        <f t="shared" si="32"/>
        <v>Medium</v>
      </c>
      <c r="P644" t="str">
        <f>_xlfn.XLOOKUP(Table1[[#This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cm="1">
        <f t="array" ref="G645">IF(_xlfn.XLOOKUP(C645,customers!$A$1:$A$1001,customers!$C$1:$C$1001,_xleta.N/A,0)=0,"",_xlfn.XLOOKUP(C645,customers!$A$1:$A$1001,customers!$C$1:$C$1001,_xleta.N/A,0))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f t="shared" si="30"/>
        <v>102.46499999999997</v>
      </c>
      <c r="N645" t="str">
        <f t="shared" si="31"/>
        <v>Excelsa</v>
      </c>
      <c r="O645" t="str">
        <f t="shared" si="32"/>
        <v>Large</v>
      </c>
      <c r="P645" t="str">
        <f>_xlfn.XLOOKUP(Table1[[#This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cm="1">
        <f t="array" ref="G646">IF(_xlfn.XLOOKUP(C646,customers!$A$1:$A$1001,customers!$C$1:$C$1001,_xleta.N/A,0)=0,"",_xlfn.XLOOKUP(C646,customers!$A$1:$A$1001,customers!$C$1:$C$1001,_xleta.N/A,0))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f t="shared" si="30"/>
        <v>41.169999999999995</v>
      </c>
      <c r="N646" t="str">
        <f t="shared" si="31"/>
        <v>Robusta</v>
      </c>
      <c r="O646" t="str">
        <f t="shared" si="32"/>
        <v>Dark</v>
      </c>
      <c r="P646" t="str">
        <f>_xlfn.XLOOKUP(Table1[[#This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cm="1">
        <f t="array" ref="G647">IF(_xlfn.XLOOKUP(C647,customers!$A$1:$A$1001,customers!$C$1:$C$1001,_xleta.N/A,0)=0,"",_xlfn.XLOOKUP(C647,customers!$A$1:$A$1001,customers!$C$1:$C$1001,_xleta.N/A,0))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f t="shared" si="30"/>
        <v>68.655000000000001</v>
      </c>
      <c r="N647" t="str">
        <f t="shared" si="31"/>
        <v>Arabica</v>
      </c>
      <c r="O647" t="str">
        <f t="shared" si="32"/>
        <v>Dark</v>
      </c>
      <c r="P647" t="str">
        <f>_xlfn.XLOOKUP(Table1[[#This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cm="1">
        <f t="array" ref="G648">IF(_xlfn.XLOOKUP(C648,customers!$A$1:$A$1001,customers!$C$1:$C$1001,_xleta.N/A,0)=0,"",_xlfn.XLOOKUP(C648,customers!$A$1:$A$1001,customers!$C$1:$C$1001,_xleta.N/A,0))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f t="shared" si="30"/>
        <v>9.9499999999999993</v>
      </c>
      <c r="N648" t="str">
        <f t="shared" si="31"/>
        <v>Arabica</v>
      </c>
      <c r="O648" t="str">
        <f t="shared" si="32"/>
        <v>Dark</v>
      </c>
      <c r="P648" t="str">
        <f>_xlfn.XLOOKUP(Table1[[#This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cm="1">
        <f t="array" ref="G649">IF(_xlfn.XLOOKUP(C649,customers!$A$1:$A$1001,customers!$C$1:$C$1001,_xleta.N/A,0)=0,"",_xlfn.XLOOKUP(C649,customers!$A$1:$A$1001,customers!$C$1:$C$1001,_xleta.N/A,0))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f t="shared" si="30"/>
        <v>28.53</v>
      </c>
      <c r="N649" t="str">
        <f t="shared" si="31"/>
        <v>Liberica</v>
      </c>
      <c r="O649" t="str">
        <f t="shared" si="32"/>
        <v>Large</v>
      </c>
      <c r="P649" t="str">
        <f>_xlfn.XLOOKUP(Table1[[#This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cm="1">
        <f t="array" ref="G650">IF(_xlfn.XLOOKUP(C650,customers!$A$1:$A$1001,customers!$C$1:$C$1001,_xleta.N/A,0)=0,"",_xlfn.XLOOKUP(C650,customers!$A$1:$A$1001,customers!$C$1:$C$1001,_xleta.N/A,0))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f t="shared" si="30"/>
        <v>16.11</v>
      </c>
      <c r="N650" t="str">
        <f t="shared" si="31"/>
        <v>Robusta</v>
      </c>
      <c r="O650" t="str">
        <f t="shared" si="32"/>
        <v>Dark</v>
      </c>
      <c r="P650" t="str">
        <f>_xlfn.XLOOKUP(Table1[[#This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cm="1">
        <f t="array" ref="G651">IF(_xlfn.XLOOKUP(C651,customers!$A$1:$A$1001,customers!$C$1:$C$1001,_xleta.N/A,0)=0,"",_xlfn.XLOOKUP(C651,customers!$A$1:$A$1001,customers!$C$1:$C$1001,_xleta.N/A,0))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f t="shared" si="30"/>
        <v>95.1</v>
      </c>
      <c r="N651" t="str">
        <f t="shared" si="31"/>
        <v>Liberica</v>
      </c>
      <c r="O651" t="str">
        <f t="shared" si="32"/>
        <v>Large</v>
      </c>
      <c r="P651" t="str">
        <f>_xlfn.XLOOKUP(Table1[[#This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cm="1">
        <f t="array" ref="G652">IF(_xlfn.XLOOKUP(C652,customers!$A$1:$A$1001,customers!$C$1:$C$1001,_xleta.N/A,0)=0,"",_xlfn.XLOOKUP(C652,customers!$A$1:$A$1001,customers!$C$1:$C$1001,_xleta.N/A,0))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f t="shared" si="30"/>
        <v>5.3699999999999992</v>
      </c>
      <c r="N652" t="str">
        <f t="shared" si="31"/>
        <v>Robusta</v>
      </c>
      <c r="O652" t="str">
        <f t="shared" si="32"/>
        <v>Dark</v>
      </c>
      <c r="P652" t="str">
        <f>_xlfn.XLOOKUP(Table1[[#This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cm="1">
        <f t="array" ref="G653">IF(_xlfn.XLOOKUP(C653,customers!$A$1:$A$1001,customers!$C$1:$C$1001,_xleta.N/A,0)=0,"",_xlfn.XLOOKUP(C653,customers!$A$1:$A$1001,customers!$C$1:$C$1001,_xleta.N/A,0))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f t="shared" si="30"/>
        <v>47.8</v>
      </c>
      <c r="N653" t="str">
        <f t="shared" si="31"/>
        <v>Robusta</v>
      </c>
      <c r="O653" t="str">
        <f t="shared" si="32"/>
        <v>Large</v>
      </c>
      <c r="P653" t="str">
        <f>_xlfn.XLOOKUP(Table1[[#This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cm="1">
        <f t="array" ref="G654">IF(_xlfn.XLOOKUP(C654,customers!$A$1:$A$1001,customers!$C$1:$C$1001,_xleta.N/A,0)=0,"",_xlfn.XLOOKUP(C654,customers!$A$1:$A$1001,customers!$C$1:$C$1001,_xleta.N/A,0))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f t="shared" si="30"/>
        <v>63.4</v>
      </c>
      <c r="N654" t="str">
        <f t="shared" si="31"/>
        <v>Liberica</v>
      </c>
      <c r="O654" t="str">
        <f t="shared" si="32"/>
        <v>Large</v>
      </c>
      <c r="P654" t="str">
        <f>_xlfn.XLOOKUP(Table1[[#This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cm="1">
        <f t="array" ref="G655">IF(_xlfn.XLOOKUP(C655,customers!$A$1:$A$1001,customers!$C$1:$C$1001,_xleta.N/A,0)=0,"",_xlfn.XLOOKUP(C655,customers!$A$1:$A$1001,customers!$C$1:$C$1001,_xleta.N/A,0))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f t="shared" si="30"/>
        <v>103.49999999999999</v>
      </c>
      <c r="N655" t="str">
        <f t="shared" si="31"/>
        <v>Arabica</v>
      </c>
      <c r="O655" t="str">
        <f t="shared" si="32"/>
        <v>Medium</v>
      </c>
      <c r="P655" t="str">
        <f>_xlfn.XLOOKUP(Table1[[#This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cm="1">
        <f t="array" ref="G656">IF(_xlfn.XLOOKUP(C656,customers!$A$1:$A$1001,customers!$C$1:$C$1001,_xleta.N/A,0)=0,"",_xlfn.XLOOKUP(C656,customers!$A$1:$A$1001,customers!$C$1:$C$1001,_xleta.N/A,0))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f t="shared" si="30"/>
        <v>68.655000000000001</v>
      </c>
      <c r="N656" t="str">
        <f t="shared" si="31"/>
        <v>Arabica</v>
      </c>
      <c r="O656" t="str">
        <f t="shared" si="32"/>
        <v>Dark</v>
      </c>
      <c r="P656" t="str">
        <f>_xlfn.XLOOKUP(Table1[[#This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cm="1">
        <f t="array" ref="G657">IF(_xlfn.XLOOKUP(C657,customers!$A$1:$A$1001,customers!$C$1:$C$1001,_xleta.N/A,0)=0,"",_xlfn.XLOOKUP(C657,customers!$A$1:$A$1001,customers!$C$1:$C$1001,_xleta.N/A,0))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f t="shared" si="30"/>
        <v>45.769999999999996</v>
      </c>
      <c r="N657" t="str">
        <f t="shared" si="31"/>
        <v>Robusta</v>
      </c>
      <c r="O657" t="str">
        <f t="shared" si="32"/>
        <v>Medium</v>
      </c>
      <c r="P657" t="str">
        <f>_xlfn.XLOOKUP(Table1[[#This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cm="1">
        <f t="array" ref="G658">IF(_xlfn.XLOOKUP(C658,customers!$A$1:$A$1001,customers!$C$1:$C$1001,_xleta.N/A,0)=0,"",_xlfn.XLOOKUP(C658,customers!$A$1:$A$1001,customers!$C$1:$C$1001,_xleta.N/A,0))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f t="shared" si="30"/>
        <v>51.8</v>
      </c>
      <c r="N658" t="str">
        <f t="shared" si="31"/>
        <v>Liberica</v>
      </c>
      <c r="O658" t="str">
        <f t="shared" si="32"/>
        <v>Dark</v>
      </c>
      <c r="P658" t="str">
        <f>_xlfn.XLOOKUP(Table1[[#This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cm="1">
        <f t="array" ref="G659">IF(_xlfn.XLOOKUP(C659,customers!$A$1:$A$1001,customers!$C$1:$C$1001,_xleta.N/A,0)=0,"",_xlfn.XLOOKUP(C659,customers!$A$1:$A$1001,customers!$C$1:$C$1001,_xleta.N/A,0))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f t="shared" si="30"/>
        <v>13.5</v>
      </c>
      <c r="N659" t="str">
        <f t="shared" si="31"/>
        <v>Arabica</v>
      </c>
      <c r="O659" t="str">
        <f t="shared" si="32"/>
        <v>Medium</v>
      </c>
      <c r="P659" t="str">
        <f>_xlfn.XLOOKUP(Table1[[#This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cm="1">
        <f t="array" ref="G660">IF(_xlfn.XLOOKUP(C660,customers!$A$1:$A$1001,customers!$C$1:$C$1001,_xleta.N/A,0)=0,"",_xlfn.XLOOKUP(C660,customers!$A$1:$A$1001,customers!$C$1:$C$1001,_xleta.N/A,0))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f t="shared" si="30"/>
        <v>24.75</v>
      </c>
      <c r="N660" t="str">
        <f t="shared" si="31"/>
        <v>Excelsa</v>
      </c>
      <c r="O660" t="str">
        <f t="shared" si="32"/>
        <v>Medium</v>
      </c>
      <c r="P660" t="str">
        <f>_xlfn.XLOOKUP(Table1[[#This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cm="1">
        <f t="array" ref="G661">IF(_xlfn.XLOOKUP(C661,customers!$A$1:$A$1001,customers!$C$1:$C$1001,_xleta.N/A,0)=0,"",_xlfn.XLOOKUP(C661,customers!$A$1:$A$1001,customers!$C$1:$C$1001,_xleta.N/A,0))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f t="shared" si="30"/>
        <v>45.769999999999996</v>
      </c>
      <c r="N661" t="str">
        <f t="shared" si="31"/>
        <v>Arabica</v>
      </c>
      <c r="O661" t="str">
        <f t="shared" si="32"/>
        <v>Dark</v>
      </c>
      <c r="P661" t="str">
        <f>_xlfn.XLOOKUP(Table1[[#This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cm="1">
        <f t="array" ref="G662">IF(_xlfn.XLOOKUP(C662,customers!$A$1:$A$1001,customers!$C$1:$C$1001,_xleta.N/A,0)=0,"",_xlfn.XLOOKUP(C662,customers!$A$1:$A$1001,customers!$C$1:$C$1001,_xleta.N/A,0))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f t="shared" si="30"/>
        <v>53.46</v>
      </c>
      <c r="N662" t="str">
        <f t="shared" si="31"/>
        <v>Excelsa</v>
      </c>
      <c r="O662" t="str">
        <f t="shared" si="32"/>
        <v>Large</v>
      </c>
      <c r="P662" t="str">
        <f>_xlfn.XLOOKUP(Table1[[#This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cm="1">
        <f t="array" ref="G663">IF(_xlfn.XLOOKUP(C663,customers!$A$1:$A$1001,customers!$C$1:$C$1001,_xleta.N/A,0)=0,"",_xlfn.XLOOKUP(C663,customers!$A$1:$A$1001,customers!$C$1:$C$1001,_xleta.N/A,0))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f t="shared" si="30"/>
        <v>20.25</v>
      </c>
      <c r="N663" t="str">
        <f t="shared" si="31"/>
        <v>Arabica</v>
      </c>
      <c r="O663" t="str">
        <f t="shared" si="32"/>
        <v>Medium</v>
      </c>
      <c r="P663" t="str">
        <f>_xlfn.XLOOKUP(Table1[[#This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cm="1">
        <f t="array" ref="G664">IF(_xlfn.XLOOKUP(C664,customers!$A$1:$A$1001,customers!$C$1:$C$1001,_xleta.N/A,0)=0,"",_xlfn.XLOOKUP(C664,customers!$A$1:$A$1001,customers!$C$1:$C$1001,_xleta.N/A,0))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f t="shared" si="30"/>
        <v>148.92499999999998</v>
      </c>
      <c r="N664" t="str">
        <f t="shared" si="31"/>
        <v>Liberica</v>
      </c>
      <c r="O664" t="str">
        <f t="shared" si="32"/>
        <v>Dark</v>
      </c>
      <c r="P664" t="str">
        <f>_xlfn.XLOOKUP(Table1[[#This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cm="1">
        <f t="array" ref="G665">IF(_xlfn.XLOOKUP(C665,customers!$A$1:$A$1001,customers!$C$1:$C$1001,_xleta.N/A,0)=0,"",_xlfn.XLOOKUP(C665,customers!$A$1:$A$1001,customers!$C$1:$C$1001,_xleta.N/A,0))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f t="shared" si="30"/>
        <v>67.5</v>
      </c>
      <c r="N665" t="str">
        <f t="shared" si="31"/>
        <v>Arabica</v>
      </c>
      <c r="O665" t="str">
        <f t="shared" si="32"/>
        <v>Medium</v>
      </c>
      <c r="P665" t="str">
        <f>_xlfn.XLOOKUP(Table1[[#This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cm="1">
        <f t="array" ref="G666">IF(_xlfn.XLOOKUP(C666,customers!$A$1:$A$1001,customers!$C$1:$C$1001,_xleta.N/A,0)=0,"",_xlfn.XLOOKUP(C666,customers!$A$1:$A$1001,customers!$C$1:$C$1001,_xleta.N/A,0))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f t="shared" si="30"/>
        <v>72.900000000000006</v>
      </c>
      <c r="N666" t="str">
        <f t="shared" si="31"/>
        <v>Excelsa</v>
      </c>
      <c r="O666" t="str">
        <f t="shared" si="32"/>
        <v>Dark</v>
      </c>
      <c r="P666" t="str">
        <f>_xlfn.XLOOKUP(Table1[[#This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cm="1">
        <f t="array" ref="G667">IF(_xlfn.XLOOKUP(C667,customers!$A$1:$A$1001,customers!$C$1:$C$1001,_xleta.N/A,0)=0,"",_xlfn.XLOOKUP(C667,customers!$A$1:$A$1001,customers!$C$1:$C$1001,_xleta.N/A,0))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f t="shared" si="30"/>
        <v>7.77</v>
      </c>
      <c r="N667" t="str">
        <f t="shared" si="31"/>
        <v>Liberica</v>
      </c>
      <c r="O667" t="str">
        <f t="shared" si="32"/>
        <v>Dark</v>
      </c>
      <c r="P667" t="str">
        <f>_xlfn.XLOOKUP(Table1[[#This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cm="1">
        <f t="array" ref="G668">IF(_xlfn.XLOOKUP(C668,customers!$A$1:$A$1001,customers!$C$1:$C$1001,_xleta.N/A,0)=0,"",_xlfn.XLOOKUP(C668,customers!$A$1:$A$1001,customers!$C$1:$C$1001,_xleta.N/A,0))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f t="shared" si="30"/>
        <v>91.539999999999992</v>
      </c>
      <c r="N668" t="str">
        <f t="shared" si="31"/>
        <v>Arabica</v>
      </c>
      <c r="O668" t="str">
        <f t="shared" si="32"/>
        <v>Dark</v>
      </c>
      <c r="P668" t="str">
        <f>_xlfn.XLOOKUP(Table1[[#This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cm="1">
        <f t="array" ref="G669">IF(_xlfn.XLOOKUP(C669,customers!$A$1:$A$1001,customers!$C$1:$C$1001,_xleta.N/A,0)=0,"",_xlfn.XLOOKUP(C669,customers!$A$1:$A$1001,customers!$C$1:$C$1001,_xleta.N/A,0))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f t="shared" si="30"/>
        <v>59.699999999999996</v>
      </c>
      <c r="N669" t="str">
        <f t="shared" si="31"/>
        <v>Arabica</v>
      </c>
      <c r="O669" t="str">
        <f t="shared" si="32"/>
        <v>Dark</v>
      </c>
      <c r="P669" t="str">
        <f>_xlfn.XLOOKUP(Table1[[#This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cm="1">
        <f t="array" ref="G670">IF(_xlfn.XLOOKUP(C670,customers!$A$1:$A$1001,customers!$C$1:$C$1001,_xleta.N/A,0)=0,"",_xlfn.XLOOKUP(C670,customers!$A$1:$A$1001,customers!$C$1:$C$1001,_xleta.N/A,0))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f t="shared" si="30"/>
        <v>137.42499999999998</v>
      </c>
      <c r="N670" t="str">
        <f t="shared" si="31"/>
        <v>Robusta</v>
      </c>
      <c r="O670" t="str">
        <f t="shared" si="32"/>
        <v>Large</v>
      </c>
      <c r="P670" t="str">
        <f>_xlfn.XLOOKUP(Table1[[#This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cm="1">
        <f t="array" ref="G671">IF(_xlfn.XLOOKUP(C671,customers!$A$1:$A$1001,customers!$C$1:$C$1001,_xleta.N/A,0)=0,"",_xlfn.XLOOKUP(C671,customers!$A$1:$A$1001,customers!$C$1:$C$1001,_xleta.N/A,0))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f t="shared" si="30"/>
        <v>66.929999999999993</v>
      </c>
      <c r="N671" t="str">
        <f t="shared" si="31"/>
        <v>Liberica</v>
      </c>
      <c r="O671" t="str">
        <f t="shared" si="32"/>
        <v>Medium</v>
      </c>
      <c r="P671" t="str">
        <f>_xlfn.XLOOKUP(Table1[[#This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cm="1">
        <f t="array" ref="G672">IF(_xlfn.XLOOKUP(C672,customers!$A$1:$A$1001,customers!$C$1:$C$1001,_xleta.N/A,0)=0,"",_xlfn.XLOOKUP(C672,customers!$A$1:$A$1001,customers!$C$1:$C$1001,_xleta.N/A,0))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f t="shared" si="30"/>
        <v>13.095000000000001</v>
      </c>
      <c r="N672" t="str">
        <f t="shared" si="31"/>
        <v>Liberica</v>
      </c>
      <c r="O672" t="str">
        <f t="shared" si="32"/>
        <v>Medium</v>
      </c>
      <c r="P672" t="str">
        <f>_xlfn.XLOOKUP(Table1[[#This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cm="1">
        <f t="array" ref="G673">IF(_xlfn.XLOOKUP(C673,customers!$A$1:$A$1001,customers!$C$1:$C$1001,_xleta.N/A,0)=0,"",_xlfn.XLOOKUP(C673,customers!$A$1:$A$1001,customers!$C$1:$C$1001,_xleta.N/A,0))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f t="shared" si="30"/>
        <v>59.75</v>
      </c>
      <c r="N673" t="str">
        <f t="shared" si="31"/>
        <v>Robusta</v>
      </c>
      <c r="O673" t="str">
        <f t="shared" si="32"/>
        <v>Large</v>
      </c>
      <c r="P673" t="str">
        <f>_xlfn.XLOOKUP(Table1[[#This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cm="1">
        <f t="array" ref="G674">IF(_xlfn.XLOOKUP(C674,customers!$A$1:$A$1001,customers!$C$1:$C$1001,_xleta.N/A,0)=0,"",_xlfn.XLOOKUP(C674,customers!$A$1:$A$1001,customers!$C$1:$C$1001,_xleta.N/A,0))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f t="shared" si="30"/>
        <v>43.650000000000006</v>
      </c>
      <c r="N674" t="str">
        <f t="shared" si="31"/>
        <v>Liberica</v>
      </c>
      <c r="O674" t="str">
        <f t="shared" si="32"/>
        <v>Medium</v>
      </c>
      <c r="P674" t="str">
        <f>_xlfn.XLOOKUP(Table1[[#This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cm="1">
        <f t="array" ref="G675">IF(_xlfn.XLOOKUP(C675,customers!$A$1:$A$1001,customers!$C$1:$C$1001,_xleta.N/A,0)=0,"",_xlfn.XLOOKUP(C675,customers!$A$1:$A$1001,customers!$C$1:$C$1001,_xleta.N/A,0))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f t="shared" si="30"/>
        <v>82.5</v>
      </c>
      <c r="N675" t="str">
        <f t="shared" si="31"/>
        <v>Excelsa</v>
      </c>
      <c r="O675" t="str">
        <f t="shared" si="32"/>
        <v>Medium</v>
      </c>
      <c r="P675" t="str">
        <f>_xlfn.XLOOKUP(Table1[[#This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cm="1">
        <f t="array" ref="G676">IF(_xlfn.XLOOKUP(C676,customers!$A$1:$A$1001,customers!$C$1:$C$1001,_xleta.N/A,0)=0,"",_xlfn.XLOOKUP(C676,customers!$A$1:$A$1001,customers!$C$1:$C$1001,_xleta.N/A,0))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f t="shared" si="30"/>
        <v>178.70999999999998</v>
      </c>
      <c r="N676" t="str">
        <f t="shared" si="31"/>
        <v>Arabica</v>
      </c>
      <c r="O676" t="str">
        <f t="shared" si="32"/>
        <v>Large</v>
      </c>
      <c r="P676" t="str">
        <f>_xlfn.XLOOKUP(Table1[[#This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cm="1">
        <f t="array" ref="G677">IF(_xlfn.XLOOKUP(C677,customers!$A$1:$A$1001,customers!$C$1:$C$1001,_xleta.N/A,0)=0,"",_xlfn.XLOOKUP(C677,customers!$A$1:$A$1001,customers!$C$1:$C$1001,_xleta.N/A,0))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f t="shared" si="30"/>
        <v>119.13999999999999</v>
      </c>
      <c r="N677" t="str">
        <f t="shared" si="31"/>
        <v>Liberica</v>
      </c>
      <c r="O677" t="str">
        <f t="shared" si="32"/>
        <v>Dark</v>
      </c>
      <c r="P677" t="str">
        <f>_xlfn.XLOOKUP(Table1[[#This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cm="1">
        <f t="array" ref="G678">IF(_xlfn.XLOOKUP(C678,customers!$A$1:$A$1001,customers!$C$1:$C$1001,_xleta.N/A,0)=0,"",_xlfn.XLOOKUP(C678,customers!$A$1:$A$1001,customers!$C$1:$C$1001,_xleta.N/A,0))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f t="shared" si="30"/>
        <v>47.55</v>
      </c>
      <c r="N678" t="str">
        <f t="shared" si="31"/>
        <v>Liberica</v>
      </c>
      <c r="O678" t="str">
        <f t="shared" si="32"/>
        <v>Large</v>
      </c>
      <c r="P678" t="str">
        <f>_xlfn.XLOOKUP(Table1[[#This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cm="1">
        <f t="array" ref="G679">IF(_xlfn.XLOOKUP(C679,customers!$A$1:$A$1001,customers!$C$1:$C$1001,_xleta.N/A,0)=0,"",_xlfn.XLOOKUP(C679,customers!$A$1:$A$1001,customers!$C$1:$C$1001,_xleta.N/A,0))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f t="shared" si="30"/>
        <v>43.650000000000006</v>
      </c>
      <c r="N679" t="str">
        <f t="shared" si="31"/>
        <v>Liberica</v>
      </c>
      <c r="O679" t="str">
        <f t="shared" si="32"/>
        <v>Medium</v>
      </c>
      <c r="P679" t="str">
        <f>_xlfn.XLOOKUP(Table1[[#This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cm="1">
        <f t="array" ref="G680">IF(_xlfn.XLOOKUP(C680,customers!$A$1:$A$1001,customers!$C$1:$C$1001,_xleta.N/A,0)=0,"",_xlfn.XLOOKUP(C680,customers!$A$1:$A$1001,customers!$C$1:$C$1001,_xleta.N/A,0))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f t="shared" si="30"/>
        <v>178.70999999999998</v>
      </c>
      <c r="N680" t="str">
        <f t="shared" si="31"/>
        <v>Arabica</v>
      </c>
      <c r="O680" t="str">
        <f t="shared" si="32"/>
        <v>Large</v>
      </c>
      <c r="P680" t="str">
        <f>_xlfn.XLOOKUP(Table1[[#This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cm="1">
        <f t="array" ref="G681">IF(_xlfn.XLOOKUP(C681,customers!$A$1:$A$1001,customers!$C$1:$C$1001,_xleta.N/A,0)=0,"",_xlfn.XLOOKUP(C681,customers!$A$1:$A$1001,customers!$C$1:$C$1001,_xleta.N/A,0))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f t="shared" si="30"/>
        <v>27.484999999999996</v>
      </c>
      <c r="N681" t="str">
        <f t="shared" si="31"/>
        <v>Robusta</v>
      </c>
      <c r="O681" t="str">
        <f t="shared" si="32"/>
        <v>Large</v>
      </c>
      <c r="P681" t="str">
        <f>_xlfn.XLOOKUP(Table1[[#This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cm="1">
        <f t="array" ref="G682">IF(_xlfn.XLOOKUP(C682,customers!$A$1:$A$1001,customers!$C$1:$C$1001,_xleta.N/A,0)=0,"",_xlfn.XLOOKUP(C682,customers!$A$1:$A$1001,customers!$C$1:$C$1001,_xleta.N/A,0))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f t="shared" si="30"/>
        <v>56.25</v>
      </c>
      <c r="N682" t="str">
        <f t="shared" si="31"/>
        <v>Arabica</v>
      </c>
      <c r="O682" t="str">
        <f t="shared" si="32"/>
        <v>Medium</v>
      </c>
      <c r="P682" t="str">
        <f>_xlfn.XLOOKUP(Table1[[#This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cm="1">
        <f t="array" ref="G683">IF(_xlfn.XLOOKUP(C683,customers!$A$1:$A$1001,customers!$C$1:$C$1001,_xleta.N/A,0)=0,"",_xlfn.XLOOKUP(C683,customers!$A$1:$A$1001,customers!$C$1:$C$1001,_xleta.N/A,0))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f t="shared" si="30"/>
        <v>9.51</v>
      </c>
      <c r="N683" t="str">
        <f t="shared" si="31"/>
        <v>Liberica</v>
      </c>
      <c r="O683" t="str">
        <f t="shared" si="32"/>
        <v>Large</v>
      </c>
      <c r="P683" t="str">
        <f>_xlfn.XLOOKUP(Table1[[#This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cm="1">
        <f t="array" ref="G684">IF(_xlfn.XLOOKUP(C684,customers!$A$1:$A$1001,customers!$C$1:$C$1001,_xleta.N/A,0)=0,"",_xlfn.XLOOKUP(C684,customers!$A$1:$A$1001,customers!$C$1:$C$1001,_xleta.N/A,0))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f t="shared" si="30"/>
        <v>8.25</v>
      </c>
      <c r="N684" t="str">
        <f t="shared" si="31"/>
        <v>Excelsa</v>
      </c>
      <c r="O684" t="str">
        <f t="shared" si="32"/>
        <v>Medium</v>
      </c>
      <c r="P684" t="str">
        <f>_xlfn.XLOOKUP(Table1[[#This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cm="1">
        <f t="array" ref="G685">IF(_xlfn.XLOOKUP(C685,customers!$A$1:$A$1001,customers!$C$1:$C$1001,_xleta.N/A,0)=0,"",_xlfn.XLOOKUP(C685,customers!$A$1:$A$1001,customers!$C$1:$C$1001,_xleta.N/A,0))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f t="shared" si="30"/>
        <v>46.62</v>
      </c>
      <c r="N685" t="str">
        <f t="shared" si="31"/>
        <v>Liberica</v>
      </c>
      <c r="O685" t="str">
        <f t="shared" si="32"/>
        <v>Dark</v>
      </c>
      <c r="P685" t="str">
        <f>_xlfn.XLOOKUP(Table1[[#This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cm="1">
        <f t="array" ref="G686">IF(_xlfn.XLOOKUP(C686,customers!$A$1:$A$1001,customers!$C$1:$C$1001,_xleta.N/A,0)=0,"",_xlfn.XLOOKUP(C686,customers!$A$1:$A$1001,customers!$C$1:$C$1001,_xleta.N/A,0))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f t="shared" si="30"/>
        <v>71.699999999999989</v>
      </c>
      <c r="N686" t="str">
        <f t="shared" si="31"/>
        <v>Robusta</v>
      </c>
      <c r="O686" t="str">
        <f t="shared" si="32"/>
        <v>Large</v>
      </c>
      <c r="P686" t="str">
        <f>_xlfn.XLOOKUP(Table1[[#This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cm="1">
        <f t="array" ref="G687">IF(_xlfn.XLOOKUP(C687,customers!$A$1:$A$1001,customers!$C$1:$C$1001,_xleta.N/A,0)=0,"",_xlfn.XLOOKUP(C687,customers!$A$1:$A$1001,customers!$C$1:$C$1001,_xleta.N/A,0))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f t="shared" si="30"/>
        <v>72.91</v>
      </c>
      <c r="N687" t="str">
        <f t="shared" si="31"/>
        <v>Liberica</v>
      </c>
      <c r="O687" t="str">
        <f t="shared" si="32"/>
        <v>Large</v>
      </c>
      <c r="P687" t="str">
        <f>_xlfn.XLOOKUP(Table1[[#This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cm="1">
        <f t="array" ref="G688">IF(_xlfn.XLOOKUP(C688,customers!$A$1:$A$1001,customers!$C$1:$C$1001,_xleta.N/A,0)=0,"",_xlfn.XLOOKUP(C688,customers!$A$1:$A$1001,customers!$C$1:$C$1001,_xleta.N/A,0))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f t="shared" si="30"/>
        <v>8.0549999999999997</v>
      </c>
      <c r="N688" t="str">
        <f t="shared" si="31"/>
        <v>Robusta</v>
      </c>
      <c r="O688" t="str">
        <f t="shared" si="32"/>
        <v>Dark</v>
      </c>
      <c r="P688" t="str">
        <f>_xlfn.XLOOKUP(Table1[[#This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cm="1">
        <f t="array" ref="G689">IF(_xlfn.XLOOKUP(C689,customers!$A$1:$A$1001,customers!$C$1:$C$1001,_xleta.N/A,0)=0,"",_xlfn.XLOOKUP(C689,customers!$A$1:$A$1001,customers!$C$1:$C$1001,_xleta.N/A,0))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f t="shared" si="30"/>
        <v>16.5</v>
      </c>
      <c r="N689" t="str">
        <f t="shared" si="31"/>
        <v>Excelsa</v>
      </c>
      <c r="O689" t="str">
        <f t="shared" si="32"/>
        <v>Medium</v>
      </c>
      <c r="P689" t="str">
        <f>_xlfn.XLOOKUP(Table1[[#This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cm="1">
        <f t="array" ref="G690">IF(_xlfn.XLOOKUP(C690,customers!$A$1:$A$1001,customers!$C$1:$C$1001,_xleta.N/A,0)=0,"",_xlfn.XLOOKUP(C690,customers!$A$1:$A$1001,customers!$C$1:$C$1001,_xleta.N/A,0))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f t="shared" si="30"/>
        <v>64.75</v>
      </c>
      <c r="N690" t="str">
        <f t="shared" si="31"/>
        <v>Arabica</v>
      </c>
      <c r="O690" t="str">
        <f t="shared" si="32"/>
        <v>Large</v>
      </c>
      <c r="P690" t="str">
        <f>_xlfn.XLOOKUP(Table1[[#This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cm="1">
        <f t="array" ref="G691">IF(_xlfn.XLOOKUP(C691,customers!$A$1:$A$1001,customers!$C$1:$C$1001,_xleta.N/A,0)=0,"",_xlfn.XLOOKUP(C691,customers!$A$1:$A$1001,customers!$C$1:$C$1001,_xleta.N/A,0))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f t="shared" si="30"/>
        <v>33.75</v>
      </c>
      <c r="N691" t="str">
        <f t="shared" si="31"/>
        <v>Arabica</v>
      </c>
      <c r="O691" t="str">
        <f t="shared" si="32"/>
        <v>Medium</v>
      </c>
      <c r="P691" t="str">
        <f>_xlfn.XLOOKUP(Table1[[#This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cm="1">
        <f t="array" ref="G692">IF(_xlfn.XLOOKUP(C692,customers!$A$1:$A$1001,customers!$C$1:$C$1001,_xleta.N/A,0)=0,"",_xlfn.XLOOKUP(C692,customers!$A$1:$A$1001,customers!$C$1:$C$1001,_xleta.N/A,0))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f t="shared" si="30"/>
        <v>178.70999999999998</v>
      </c>
      <c r="N692" t="str">
        <f t="shared" si="31"/>
        <v>Liberica</v>
      </c>
      <c r="O692" t="str">
        <f t="shared" si="32"/>
        <v>Dark</v>
      </c>
      <c r="P692" t="str">
        <f>_xlfn.XLOOKUP(Table1[[#This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cm="1">
        <f t="array" ref="G693">IF(_xlfn.XLOOKUP(C693,customers!$A$1:$A$1001,customers!$C$1:$C$1001,_xleta.N/A,0)=0,"",_xlfn.XLOOKUP(C693,customers!$A$1:$A$1001,customers!$C$1:$C$1001,_xleta.N/A,0))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f t="shared" si="30"/>
        <v>22.5</v>
      </c>
      <c r="N693" t="str">
        <f t="shared" si="31"/>
        <v>Arabica</v>
      </c>
      <c r="O693" t="str">
        <f t="shared" si="32"/>
        <v>Medium</v>
      </c>
      <c r="P693" t="str">
        <f>_xlfn.XLOOKUP(Table1[[#This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cm="1">
        <f t="array" ref="G694">IF(_xlfn.XLOOKUP(C694,customers!$A$1:$A$1001,customers!$C$1:$C$1001,_xleta.N/A,0)=0,"",_xlfn.XLOOKUP(C694,customers!$A$1:$A$1001,customers!$C$1:$C$1001,_xleta.N/A,0))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f t="shared" si="30"/>
        <v>12.95</v>
      </c>
      <c r="N694" t="str">
        <f t="shared" si="31"/>
        <v>Liberica</v>
      </c>
      <c r="O694" t="str">
        <f t="shared" si="32"/>
        <v>Dark</v>
      </c>
      <c r="P694" t="str">
        <f>_xlfn.XLOOKUP(Table1[[#This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cm="1">
        <f t="array" ref="G695">IF(_xlfn.XLOOKUP(C695,customers!$A$1:$A$1001,customers!$C$1:$C$1001,_xleta.N/A,0)=0,"",_xlfn.XLOOKUP(C695,customers!$A$1:$A$1001,customers!$C$1:$C$1001,_xleta.N/A,0))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f t="shared" si="30"/>
        <v>51.749999999999993</v>
      </c>
      <c r="N695" t="str">
        <f t="shared" si="31"/>
        <v>Arabica</v>
      </c>
      <c r="O695" t="str">
        <f t="shared" si="32"/>
        <v>Medium</v>
      </c>
      <c r="P695" t="str">
        <f>_xlfn.XLOOKUP(Table1[[#This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cm="1">
        <f t="array" ref="G696">IF(_xlfn.XLOOKUP(C696,customers!$A$1:$A$1001,customers!$C$1:$C$1001,_xleta.N/A,0)=0,"",_xlfn.XLOOKUP(C696,customers!$A$1:$A$1001,customers!$C$1:$C$1001,_xleta.N/A,0))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f t="shared" si="30"/>
        <v>36.450000000000003</v>
      </c>
      <c r="N696" t="str">
        <f t="shared" si="31"/>
        <v>Excelsa</v>
      </c>
      <c r="O696" t="str">
        <f t="shared" si="32"/>
        <v>Dark</v>
      </c>
      <c r="P696" t="str">
        <f>_xlfn.XLOOKUP(Table1[[#This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cm="1">
        <f t="array" ref="G697">IF(_xlfn.XLOOKUP(C697,customers!$A$1:$A$1001,customers!$C$1:$C$1001,_xleta.N/A,0)=0,"",_xlfn.XLOOKUP(C697,customers!$A$1:$A$1001,customers!$C$1:$C$1001,_xleta.N/A,0))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f t="shared" si="30"/>
        <v>182.27499999999998</v>
      </c>
      <c r="N697" t="str">
        <f t="shared" si="31"/>
        <v>Liberica</v>
      </c>
      <c r="O697" t="str">
        <f t="shared" si="32"/>
        <v>Large</v>
      </c>
      <c r="P697" t="str">
        <f>_xlfn.XLOOKUP(Table1[[#This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cm="1">
        <f t="array" ref="G698">IF(_xlfn.XLOOKUP(C698,customers!$A$1:$A$1001,customers!$C$1:$C$1001,_xleta.N/A,0)=0,"",_xlfn.XLOOKUP(C698,customers!$A$1:$A$1001,customers!$C$1:$C$1001,_xleta.N/A,0))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f t="shared" si="30"/>
        <v>31.08</v>
      </c>
      <c r="N698" t="str">
        <f t="shared" si="31"/>
        <v>Liberica</v>
      </c>
      <c r="O698" t="str">
        <f t="shared" si="32"/>
        <v>Dark</v>
      </c>
      <c r="P698" t="str">
        <f>_xlfn.XLOOKUP(Table1[[#This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cm="1">
        <f t="array" ref="G699">IF(_xlfn.XLOOKUP(C699,customers!$A$1:$A$1001,customers!$C$1:$C$1001,_xleta.N/A,0)=0,"",_xlfn.XLOOKUP(C699,customers!$A$1:$A$1001,customers!$C$1:$C$1001,_xleta.N/A,0))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f t="shared" si="30"/>
        <v>20.25</v>
      </c>
      <c r="N699" t="str">
        <f t="shared" si="31"/>
        <v>Arabica</v>
      </c>
      <c r="O699" t="str">
        <f t="shared" si="32"/>
        <v>Medium</v>
      </c>
      <c r="P699" t="str">
        <f>_xlfn.XLOOKUP(Table1[[#This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cm="1">
        <f t="array" ref="G700">IF(_xlfn.XLOOKUP(C700,customers!$A$1:$A$1001,customers!$C$1:$C$1001,_xleta.N/A,0)=0,"",_xlfn.XLOOKUP(C700,customers!$A$1:$A$1001,customers!$C$1:$C$1001,_xleta.N/A,0))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f t="shared" si="30"/>
        <v>25.9</v>
      </c>
      <c r="N700" t="str">
        <f t="shared" si="31"/>
        <v>Liberica</v>
      </c>
      <c r="O700" t="str">
        <f t="shared" si="32"/>
        <v>Dark</v>
      </c>
      <c r="P700" t="str">
        <f>_xlfn.XLOOKUP(Table1[[#This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cm="1">
        <f t="array" ref="G701">IF(_xlfn.XLOOKUP(C701,customers!$A$1:$A$1001,customers!$C$1:$C$1001,_xleta.N/A,0)=0,"",_xlfn.XLOOKUP(C701,customers!$A$1:$A$1001,customers!$C$1:$C$1001,_xleta.N/A,0))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f t="shared" si="30"/>
        <v>23.88</v>
      </c>
      <c r="N701" t="str">
        <f t="shared" si="31"/>
        <v>Arabica</v>
      </c>
      <c r="O701" t="str">
        <f t="shared" si="32"/>
        <v>Dark</v>
      </c>
      <c r="P701" t="str">
        <f>_xlfn.XLOOKUP(Table1[[#This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cm="1">
        <f t="array" ref="G702">IF(_xlfn.XLOOKUP(C702,customers!$A$1:$A$1001,customers!$C$1:$C$1001,_xleta.N/A,0)=0,"",_xlfn.XLOOKUP(C702,customers!$A$1:$A$1001,customers!$C$1:$C$1001,_xleta.N/A,0))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f t="shared" si="30"/>
        <v>19.02</v>
      </c>
      <c r="N702" t="str">
        <f t="shared" si="31"/>
        <v>Liberica</v>
      </c>
      <c r="O702" t="str">
        <f t="shared" si="32"/>
        <v>Large</v>
      </c>
      <c r="P702" t="str">
        <f>_xlfn.XLOOKUP(Table1[[#This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cm="1">
        <f t="array" ref="G703">IF(_xlfn.XLOOKUP(C703,customers!$A$1:$A$1001,customers!$C$1:$C$1001,_xleta.N/A,0)=0,"",_xlfn.XLOOKUP(C703,customers!$A$1:$A$1001,customers!$C$1:$C$1001,_xleta.N/A,0))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f t="shared" si="30"/>
        <v>29.849999999999998</v>
      </c>
      <c r="N703" t="str">
        <f t="shared" si="31"/>
        <v>Arabica</v>
      </c>
      <c r="O703" t="str">
        <f t="shared" si="32"/>
        <v>Dark</v>
      </c>
      <c r="P703" t="str">
        <f>_xlfn.XLOOKUP(Table1[[#This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cm="1">
        <f t="array" ref="G704">IF(_xlfn.XLOOKUP(C704,customers!$A$1:$A$1001,customers!$C$1:$C$1001,_xleta.N/A,0)=0,"",_xlfn.XLOOKUP(C704,customers!$A$1:$A$1001,customers!$C$1:$C$1001,_xleta.N/A,0))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f t="shared" si="30"/>
        <v>7.77</v>
      </c>
      <c r="N704" t="str">
        <f t="shared" si="31"/>
        <v>Arabica</v>
      </c>
      <c r="O704" t="str">
        <f t="shared" si="32"/>
        <v>Large</v>
      </c>
      <c r="P704" t="str">
        <f>_xlfn.XLOOKUP(Table1[[#This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cm="1">
        <f t="array" ref="G705">IF(_xlfn.XLOOKUP(C705,customers!$A$1:$A$1001,customers!$C$1:$C$1001,_xleta.N/A,0)=0,"",_xlfn.XLOOKUP(C705,customers!$A$1:$A$1001,customers!$C$1:$C$1001,_xleta.N/A,0))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f t="shared" si="30"/>
        <v>119.13999999999999</v>
      </c>
      <c r="N705" t="str">
        <f t="shared" si="31"/>
        <v>Liberica</v>
      </c>
      <c r="O705" t="str">
        <f t="shared" si="32"/>
        <v>Dark</v>
      </c>
      <c r="P705" t="str">
        <f>_xlfn.XLOOKUP(Table1[[#This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cm="1">
        <f t="array" ref="G706">IF(_xlfn.XLOOKUP(C706,customers!$A$1:$A$1001,customers!$C$1:$C$1001,_xleta.N/A,0)=0,"",_xlfn.XLOOKUP(C706,customers!$A$1:$A$1001,customers!$C$1:$C$1001,_xleta.N/A,0))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f t="shared" si="30"/>
        <v>21.87</v>
      </c>
      <c r="N706" t="str">
        <f t="shared" si="31"/>
        <v>Excelsa</v>
      </c>
      <c r="O706" t="str">
        <f t="shared" si="32"/>
        <v>Dark</v>
      </c>
      <c r="P706" t="str">
        <f>_xlfn.XLOOKUP(Table1[[#This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cm="1">
        <f t="array" ref="G707">IF(_xlfn.XLOOKUP(C707,customers!$A$1:$A$1001,customers!$C$1:$C$1001,_xleta.N/A,0)=0,"",_xlfn.XLOOKUP(C707,customers!$A$1:$A$1001,customers!$C$1:$C$1001,_xleta.N/A,0))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f t="shared" ref="M707:M770" si="33">L707*E707</f>
        <v>17.82</v>
      </c>
      <c r="N707" t="str">
        <f t="shared" ref="N707:N770" si="34">IF(I707="ROB","Robusta",IF(I707="EXC","Excelsa",IF(I707="Ara","Arabica",IF(I707="lib","Liberica",""))))</f>
        <v>Excelsa</v>
      </c>
      <c r="O707" t="str">
        <f t="shared" ref="O707:O770" si="35">IF(J707="M","Medium",IF(J707="L","Large",IF(J707="D","Dark","")))</f>
        <v>Large</v>
      </c>
      <c r="P707" t="str">
        <f>_xlfn.XLOOKUP(Table1[[#This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cm="1">
        <f t="array" ref="G708">IF(_xlfn.XLOOKUP(C708,customers!$A$1:$A$1001,customers!$C$1:$C$1001,_xleta.N/A,0)=0,"",_xlfn.XLOOKUP(C708,customers!$A$1:$A$1001,customers!$C$1:$C$1001,_xleta.N/A,0))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f t="shared" si="33"/>
        <v>12.375</v>
      </c>
      <c r="N708" t="str">
        <f t="shared" si="34"/>
        <v>Excelsa</v>
      </c>
      <c r="O708" t="str">
        <f t="shared" si="35"/>
        <v>Medium</v>
      </c>
      <c r="P708" t="str">
        <f>_xlfn.XLOOKUP(Table1[[#This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cm="1">
        <f t="array" ref="G709">IF(_xlfn.XLOOKUP(C709,customers!$A$1:$A$1001,customers!$C$1:$C$1001,_xleta.N/A,0)=0,"",_xlfn.XLOOKUP(C709,customers!$A$1:$A$1001,customers!$C$1:$C$1001,_xleta.N/A,0))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f t="shared" si="33"/>
        <v>25.9</v>
      </c>
      <c r="N709" t="str">
        <f t="shared" si="34"/>
        <v>Liberica</v>
      </c>
      <c r="O709" t="str">
        <f t="shared" si="35"/>
        <v>Dark</v>
      </c>
      <c r="P709" t="str">
        <f>_xlfn.XLOOKUP(Table1[[#This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cm="1">
        <f t="array" ref="G710">IF(_xlfn.XLOOKUP(C710,customers!$A$1:$A$1001,customers!$C$1:$C$1001,_xleta.N/A,0)=0,"",_xlfn.XLOOKUP(C710,customers!$A$1:$A$1001,customers!$C$1:$C$1001,_xleta.N/A,0))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f t="shared" si="33"/>
        <v>13.5</v>
      </c>
      <c r="N710" t="str">
        <f t="shared" si="34"/>
        <v>Arabica</v>
      </c>
      <c r="O710" t="str">
        <f t="shared" si="35"/>
        <v>Medium</v>
      </c>
      <c r="P710" t="str">
        <f>_xlfn.XLOOKUP(Table1[[#This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cm="1">
        <f t="array" ref="G711">IF(_xlfn.XLOOKUP(C711,customers!$A$1:$A$1001,customers!$C$1:$C$1001,_xleta.N/A,0)=0,"",_xlfn.XLOOKUP(C711,customers!$A$1:$A$1001,customers!$C$1:$C$1001,_xleta.N/A,0))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f t="shared" si="33"/>
        <v>17.82</v>
      </c>
      <c r="N711" t="str">
        <f t="shared" si="34"/>
        <v>Excelsa</v>
      </c>
      <c r="O711" t="str">
        <f t="shared" si="35"/>
        <v>Large</v>
      </c>
      <c r="P711" t="str">
        <f>_xlfn.XLOOKUP(Table1[[#This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cm="1">
        <f t="array" ref="G712">IF(_xlfn.XLOOKUP(C712,customers!$A$1:$A$1001,customers!$C$1:$C$1001,_xleta.N/A,0)=0,"",_xlfn.XLOOKUP(C712,customers!$A$1:$A$1001,customers!$C$1:$C$1001,_xleta.N/A,0))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f t="shared" si="33"/>
        <v>24.75</v>
      </c>
      <c r="N712" t="str">
        <f t="shared" si="34"/>
        <v>Excelsa</v>
      </c>
      <c r="O712" t="str">
        <f t="shared" si="35"/>
        <v>Medium</v>
      </c>
      <c r="P712" t="str">
        <f>_xlfn.XLOOKUP(Table1[[#This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cm="1">
        <f t="array" ref="G713">IF(_xlfn.XLOOKUP(C713,customers!$A$1:$A$1001,customers!$C$1:$C$1001,_xleta.N/A,0)=0,"",_xlfn.XLOOKUP(C713,customers!$A$1:$A$1001,customers!$C$1:$C$1001,_xleta.N/A,0))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f t="shared" si="33"/>
        <v>17.91</v>
      </c>
      <c r="N713" t="str">
        <f t="shared" si="34"/>
        <v>Robusta</v>
      </c>
      <c r="O713" t="str">
        <f t="shared" si="35"/>
        <v>Medium</v>
      </c>
      <c r="P713" t="str">
        <f>_xlfn.XLOOKUP(Table1[[#This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cm="1">
        <f t="array" ref="G714">IF(_xlfn.XLOOKUP(C714,customers!$A$1:$A$1001,customers!$C$1:$C$1001,_xleta.N/A,0)=0,"",_xlfn.XLOOKUP(C714,customers!$A$1:$A$1001,customers!$C$1:$C$1001,_xleta.N/A,0))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f t="shared" si="33"/>
        <v>16.5</v>
      </c>
      <c r="N714" t="str">
        <f t="shared" si="34"/>
        <v>Excelsa</v>
      </c>
      <c r="O714" t="str">
        <f t="shared" si="35"/>
        <v>Medium</v>
      </c>
      <c r="P714" t="str">
        <f>_xlfn.XLOOKUP(Table1[[#This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cm="1">
        <f t="array" ref="G715">IF(_xlfn.XLOOKUP(C715,customers!$A$1:$A$1001,customers!$C$1:$C$1001,_xleta.N/A,0)=0,"",_xlfn.XLOOKUP(C715,customers!$A$1:$A$1001,customers!$C$1:$C$1001,_xleta.N/A,0))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f t="shared" si="33"/>
        <v>2.9849999999999999</v>
      </c>
      <c r="N715" t="str">
        <f t="shared" si="34"/>
        <v>Robusta</v>
      </c>
      <c r="O715" t="str">
        <f t="shared" si="35"/>
        <v>Medium</v>
      </c>
      <c r="P715" t="str">
        <f>_xlfn.XLOOKUP(Table1[[#This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cm="1">
        <f t="array" ref="G716">IF(_xlfn.XLOOKUP(C716,customers!$A$1:$A$1001,customers!$C$1:$C$1001,_xleta.N/A,0)=0,"",_xlfn.XLOOKUP(C716,customers!$A$1:$A$1001,customers!$C$1:$C$1001,_xleta.N/A,0))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f t="shared" si="33"/>
        <v>14.58</v>
      </c>
      <c r="N716" t="str">
        <f t="shared" si="34"/>
        <v>Excelsa</v>
      </c>
      <c r="O716" t="str">
        <f t="shared" si="35"/>
        <v>Dark</v>
      </c>
      <c r="P716" t="str">
        <f>_xlfn.XLOOKUP(Table1[[#This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cm="1">
        <f t="array" ref="G717">IF(_xlfn.XLOOKUP(C717,customers!$A$1:$A$1001,customers!$C$1:$C$1001,_xleta.N/A,0)=0,"",_xlfn.XLOOKUP(C717,customers!$A$1:$A$1001,customers!$C$1:$C$1001,_xleta.N/A,0))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f t="shared" si="33"/>
        <v>89.1</v>
      </c>
      <c r="N717" t="str">
        <f t="shared" si="34"/>
        <v>Excelsa</v>
      </c>
      <c r="O717" t="str">
        <f t="shared" si="35"/>
        <v>Large</v>
      </c>
      <c r="P717" t="str">
        <f>_xlfn.XLOOKUP(Table1[[#This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cm="1">
        <f t="array" ref="G718">IF(_xlfn.XLOOKUP(C718,customers!$A$1:$A$1001,customers!$C$1:$C$1001,_xleta.N/A,0)=0,"",_xlfn.XLOOKUP(C718,customers!$A$1:$A$1001,customers!$C$1:$C$1001,_xleta.N/A,0))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f t="shared" si="33"/>
        <v>35.849999999999994</v>
      </c>
      <c r="N718" t="str">
        <f t="shared" si="34"/>
        <v>Robusta</v>
      </c>
      <c r="O718" t="str">
        <f t="shared" si="35"/>
        <v>Large</v>
      </c>
      <c r="P718" t="str">
        <f>_xlfn.XLOOKUP(Table1[[#This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cm="1">
        <f t="array" ref="G719">IF(_xlfn.XLOOKUP(C719,customers!$A$1:$A$1001,customers!$C$1:$C$1001,_xleta.N/A,0)=0,"",_xlfn.XLOOKUP(C719,customers!$A$1:$A$1001,customers!$C$1:$C$1001,_xleta.N/A,0))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f t="shared" si="33"/>
        <v>68.655000000000001</v>
      </c>
      <c r="N719" t="str">
        <f t="shared" si="34"/>
        <v>Arabica</v>
      </c>
      <c r="O719" t="str">
        <f t="shared" si="35"/>
        <v>Dark</v>
      </c>
      <c r="P719" t="str">
        <f>_xlfn.XLOOKUP(Table1[[#This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cm="1">
        <f t="array" ref="G720">IF(_xlfn.XLOOKUP(C720,customers!$A$1:$A$1001,customers!$C$1:$C$1001,_xleta.N/A,0)=0,"",_xlfn.XLOOKUP(C720,customers!$A$1:$A$1001,customers!$C$1:$C$1001,_xleta.N/A,0))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f t="shared" si="33"/>
        <v>38.849999999999994</v>
      </c>
      <c r="N720" t="str">
        <f t="shared" si="34"/>
        <v>Liberica</v>
      </c>
      <c r="O720" t="str">
        <f t="shared" si="35"/>
        <v>Dark</v>
      </c>
      <c r="P720" t="str">
        <f>_xlfn.XLOOKUP(Table1[[#This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cm="1">
        <f t="array" ref="G721">IF(_xlfn.XLOOKUP(C721,customers!$A$1:$A$1001,customers!$C$1:$C$1001,_xleta.N/A,0)=0,"",_xlfn.XLOOKUP(C721,customers!$A$1:$A$1001,customers!$C$1:$C$1001,_xleta.N/A,0))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f t="shared" si="33"/>
        <v>79.25</v>
      </c>
      <c r="N721" t="str">
        <f t="shared" si="34"/>
        <v>Liberica</v>
      </c>
      <c r="O721" t="str">
        <f t="shared" si="35"/>
        <v>Large</v>
      </c>
      <c r="P721" t="str">
        <f>_xlfn.XLOOKUP(Table1[[#This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cm="1">
        <f t="array" ref="G722">IF(_xlfn.XLOOKUP(C722,customers!$A$1:$A$1001,customers!$C$1:$C$1001,_xleta.N/A,0)=0,"",_xlfn.XLOOKUP(C722,customers!$A$1:$A$1001,customers!$C$1:$C$1001,_xleta.N/A,0))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f t="shared" si="33"/>
        <v>36.450000000000003</v>
      </c>
      <c r="N722" t="str">
        <f t="shared" si="34"/>
        <v>Excelsa</v>
      </c>
      <c r="O722" t="str">
        <f t="shared" si="35"/>
        <v>Dark</v>
      </c>
      <c r="P722" t="str">
        <f>_xlfn.XLOOKUP(Table1[[#This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cm="1">
        <f t="array" ref="G723">IF(_xlfn.XLOOKUP(C723,customers!$A$1:$A$1001,customers!$C$1:$C$1001,_xleta.N/A,0)=0,"",_xlfn.XLOOKUP(C723,customers!$A$1:$A$1001,customers!$C$1:$C$1001,_xleta.N/A,0))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f t="shared" si="33"/>
        <v>8.9550000000000001</v>
      </c>
      <c r="N723" t="str">
        <f t="shared" si="34"/>
        <v>Robusta</v>
      </c>
      <c r="O723" t="str">
        <f t="shared" si="35"/>
        <v>Medium</v>
      </c>
      <c r="P723" t="str">
        <f>_xlfn.XLOOKUP(Table1[[#This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cm="1">
        <f t="array" ref="G724">IF(_xlfn.XLOOKUP(C724,customers!$A$1:$A$1001,customers!$C$1:$C$1001,_xleta.N/A,0)=0,"",_xlfn.XLOOKUP(C724,customers!$A$1:$A$1001,customers!$C$1:$C$1001,_xleta.N/A,0))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f t="shared" si="33"/>
        <v>24.3</v>
      </c>
      <c r="N724" t="str">
        <f t="shared" si="34"/>
        <v>Excelsa</v>
      </c>
      <c r="O724" t="str">
        <f t="shared" si="35"/>
        <v>Dark</v>
      </c>
      <c r="P724" t="str">
        <f>_xlfn.XLOOKUP(Table1[[#This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cm="1">
        <f t="array" ref="G725">IF(_xlfn.XLOOKUP(C725,customers!$A$1:$A$1001,customers!$C$1:$C$1001,_xleta.N/A,0)=0,"",_xlfn.XLOOKUP(C725,customers!$A$1:$A$1001,customers!$C$1:$C$1001,_xleta.N/A,0))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f t="shared" si="33"/>
        <v>63.249999999999993</v>
      </c>
      <c r="N725" t="str">
        <f t="shared" si="34"/>
        <v>Excelsa</v>
      </c>
      <c r="O725" t="str">
        <f t="shared" si="35"/>
        <v>Medium</v>
      </c>
      <c r="P725" t="str">
        <f>_xlfn.XLOOKUP(Table1[[#This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cm="1">
        <f t="array" ref="G726">IF(_xlfn.XLOOKUP(C726,customers!$A$1:$A$1001,customers!$C$1:$C$1001,_xleta.N/A,0)=0,"",_xlfn.XLOOKUP(C726,customers!$A$1:$A$1001,customers!$C$1:$C$1001,_xleta.N/A,0))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f t="shared" si="33"/>
        <v>6.75</v>
      </c>
      <c r="N726" t="str">
        <f t="shared" si="34"/>
        <v>Arabica</v>
      </c>
      <c r="O726" t="str">
        <f t="shared" si="35"/>
        <v>Medium</v>
      </c>
      <c r="P726" t="str">
        <f>_xlfn.XLOOKUP(Table1[[#This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cm="1">
        <f t="array" ref="G727">IF(_xlfn.XLOOKUP(C727,customers!$A$1:$A$1001,customers!$C$1:$C$1001,_xleta.N/A,0)=0,"",_xlfn.XLOOKUP(C727,customers!$A$1:$A$1001,customers!$C$1:$C$1001,_xleta.N/A,0))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f t="shared" si="33"/>
        <v>23.31</v>
      </c>
      <c r="N727" t="str">
        <f t="shared" si="34"/>
        <v>Arabica</v>
      </c>
      <c r="O727" t="str">
        <f t="shared" si="35"/>
        <v>Large</v>
      </c>
      <c r="P727" t="str">
        <f>_xlfn.XLOOKUP(Table1[[#This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cm="1">
        <f t="array" ref="G728">IF(_xlfn.XLOOKUP(C728,customers!$A$1:$A$1001,customers!$C$1:$C$1001,_xleta.N/A,0)=0,"",_xlfn.XLOOKUP(C728,customers!$A$1:$A$1001,customers!$C$1:$C$1001,_xleta.N/A,0))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f t="shared" si="33"/>
        <v>145.82</v>
      </c>
      <c r="N728" t="str">
        <f t="shared" si="34"/>
        <v>Liberica</v>
      </c>
      <c r="O728" t="str">
        <f t="shared" si="35"/>
        <v>Large</v>
      </c>
      <c r="P728" t="str">
        <f>_xlfn.XLOOKUP(Table1[[#This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cm="1">
        <f t="array" ref="G729">IF(_xlfn.XLOOKUP(C729,customers!$A$1:$A$1001,customers!$C$1:$C$1001,_xleta.N/A,0)=0,"",_xlfn.XLOOKUP(C729,customers!$A$1:$A$1001,customers!$C$1:$C$1001,_xleta.N/A,0))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f t="shared" si="33"/>
        <v>29.849999999999998</v>
      </c>
      <c r="N729" t="str">
        <f t="shared" si="34"/>
        <v>Robusta</v>
      </c>
      <c r="O729" t="str">
        <f t="shared" si="35"/>
        <v>Medium</v>
      </c>
      <c r="P729" t="str">
        <f>_xlfn.XLOOKUP(Table1[[#This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cm="1">
        <f t="array" ref="G730">IF(_xlfn.XLOOKUP(C730,customers!$A$1:$A$1001,customers!$C$1:$C$1001,_xleta.N/A,0)=0,"",_xlfn.XLOOKUP(C730,customers!$A$1:$A$1001,customers!$C$1:$C$1001,_xleta.N/A,0))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f t="shared" si="33"/>
        <v>21.87</v>
      </c>
      <c r="N730" t="str">
        <f t="shared" si="34"/>
        <v>Excelsa</v>
      </c>
      <c r="O730" t="str">
        <f t="shared" si="35"/>
        <v>Dark</v>
      </c>
      <c r="P730" t="str">
        <f>_xlfn.XLOOKUP(Table1[[#This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cm="1">
        <f t="array" ref="G731">IF(_xlfn.XLOOKUP(C731,customers!$A$1:$A$1001,customers!$C$1:$C$1001,_xleta.N/A,0)=0,"",_xlfn.XLOOKUP(C731,customers!$A$1:$A$1001,customers!$C$1:$C$1001,_xleta.N/A,0))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f t="shared" si="33"/>
        <v>4.3650000000000002</v>
      </c>
      <c r="N731" t="str">
        <f t="shared" si="34"/>
        <v>Liberica</v>
      </c>
      <c r="O731" t="str">
        <f t="shared" si="35"/>
        <v>Medium</v>
      </c>
      <c r="P731" t="str">
        <f>_xlfn.XLOOKUP(Table1[[#This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cm="1">
        <f t="array" ref="G732">IF(_xlfn.XLOOKUP(C732,customers!$A$1:$A$1001,customers!$C$1:$C$1001,_xleta.N/A,0)=0,"",_xlfn.XLOOKUP(C732,customers!$A$1:$A$1001,customers!$C$1:$C$1001,_xleta.N/A,0))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f t="shared" si="33"/>
        <v>36.454999999999998</v>
      </c>
      <c r="N732" t="str">
        <f t="shared" si="34"/>
        <v>Liberica</v>
      </c>
      <c r="O732" t="str">
        <f t="shared" si="35"/>
        <v>Large</v>
      </c>
      <c r="P732" t="str">
        <f>_xlfn.XLOOKUP(Table1[[#This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cm="1">
        <f t="array" ref="G733">IF(_xlfn.XLOOKUP(C733,customers!$A$1:$A$1001,customers!$C$1:$C$1001,_xleta.N/A,0)=0,"",_xlfn.XLOOKUP(C733,customers!$A$1:$A$1001,customers!$C$1:$C$1001,_xleta.N/A,0))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f t="shared" si="33"/>
        <v>15.54</v>
      </c>
      <c r="N733" t="str">
        <f t="shared" si="34"/>
        <v>Liberica</v>
      </c>
      <c r="O733" t="str">
        <f t="shared" si="35"/>
        <v>Dark</v>
      </c>
      <c r="P733" t="str">
        <f>_xlfn.XLOOKUP(Table1[[#This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cm="1">
        <f t="array" ref="G734">IF(_xlfn.XLOOKUP(C734,customers!$A$1:$A$1001,customers!$C$1:$C$1001,_xleta.N/A,0)=0,"",_xlfn.XLOOKUP(C734,customers!$A$1:$A$1001,customers!$C$1:$C$1001,_xleta.N/A,0))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f t="shared" si="33"/>
        <v>8.91</v>
      </c>
      <c r="N734" t="str">
        <f t="shared" si="34"/>
        <v>Excelsa</v>
      </c>
      <c r="O734" t="str">
        <f t="shared" si="35"/>
        <v>Large</v>
      </c>
      <c r="P734" t="str">
        <f>_xlfn.XLOOKUP(Table1[[#This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cm="1">
        <f t="array" ref="G735">IF(_xlfn.XLOOKUP(C735,customers!$A$1:$A$1001,customers!$C$1:$C$1001,_xleta.N/A,0)=0,"",_xlfn.XLOOKUP(C735,customers!$A$1:$A$1001,customers!$C$1:$C$1001,_xleta.N/A,0))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f t="shared" si="33"/>
        <v>100.39499999999998</v>
      </c>
      <c r="N735" t="str">
        <f t="shared" si="34"/>
        <v>Liberica</v>
      </c>
      <c r="O735" t="str">
        <f t="shared" si="35"/>
        <v>Medium</v>
      </c>
      <c r="P735" t="str">
        <f>_xlfn.XLOOKUP(Table1[[#This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cm="1">
        <f t="array" ref="G736">IF(_xlfn.XLOOKUP(C736,customers!$A$1:$A$1001,customers!$C$1:$C$1001,_xleta.N/A,0)=0,"",_xlfn.XLOOKUP(C736,customers!$A$1:$A$1001,customers!$C$1:$C$1001,_xleta.N/A,0))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f t="shared" si="33"/>
        <v>13.424999999999997</v>
      </c>
      <c r="N736" t="str">
        <f t="shared" si="34"/>
        <v>Robusta</v>
      </c>
      <c r="O736" t="str">
        <f t="shared" si="35"/>
        <v>Dark</v>
      </c>
      <c r="P736" t="str">
        <f>_xlfn.XLOOKUP(Table1[[#This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cm="1">
        <f t="array" ref="G737">IF(_xlfn.XLOOKUP(C737,customers!$A$1:$A$1001,customers!$C$1:$C$1001,_xleta.N/A,0)=0,"",_xlfn.XLOOKUP(C737,customers!$A$1:$A$1001,customers!$C$1:$C$1001,_xleta.N/A,0))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f t="shared" si="33"/>
        <v>21.87</v>
      </c>
      <c r="N737" t="str">
        <f t="shared" si="34"/>
        <v>Excelsa</v>
      </c>
      <c r="O737" t="str">
        <f t="shared" si="35"/>
        <v>Dark</v>
      </c>
      <c r="P737" t="str">
        <f>_xlfn.XLOOKUP(Table1[[#This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cm="1">
        <f t="array" ref="G738">IF(_xlfn.XLOOKUP(C738,customers!$A$1:$A$1001,customers!$C$1:$C$1001,_xleta.N/A,0)=0,"",_xlfn.XLOOKUP(C738,customers!$A$1:$A$1001,customers!$C$1:$C$1001,_xleta.N/A,0))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f t="shared" si="33"/>
        <v>25.9</v>
      </c>
      <c r="N738" t="str">
        <f t="shared" si="34"/>
        <v>Liberica</v>
      </c>
      <c r="O738" t="str">
        <f t="shared" si="35"/>
        <v>Dark</v>
      </c>
      <c r="P738" t="str">
        <f>_xlfn.XLOOKUP(Table1[[#This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cm="1">
        <f t="array" ref="G739">IF(_xlfn.XLOOKUP(C739,customers!$A$1:$A$1001,customers!$C$1:$C$1001,_xleta.N/A,0)=0,"",_xlfn.XLOOKUP(C739,customers!$A$1:$A$1001,customers!$C$1:$C$1001,_xleta.N/A,0))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f t="shared" si="33"/>
        <v>56.25</v>
      </c>
      <c r="N739" t="str">
        <f t="shared" si="34"/>
        <v>Arabica</v>
      </c>
      <c r="O739" t="str">
        <f t="shared" si="35"/>
        <v>Medium</v>
      </c>
      <c r="P739" t="str">
        <f>_xlfn.XLOOKUP(Table1[[#This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cm="1">
        <f t="array" ref="G740">IF(_xlfn.XLOOKUP(C740,customers!$A$1:$A$1001,customers!$C$1:$C$1001,_xleta.N/A,0)=0,"",_xlfn.XLOOKUP(C740,customers!$A$1:$A$1001,customers!$C$1:$C$1001,_xleta.N/A,0))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f t="shared" si="33"/>
        <v>10.754999999999999</v>
      </c>
      <c r="N740" t="str">
        <f t="shared" si="34"/>
        <v>Robusta</v>
      </c>
      <c r="O740" t="str">
        <f t="shared" si="35"/>
        <v>Large</v>
      </c>
      <c r="P740" t="str">
        <f>_xlfn.XLOOKUP(Table1[[#This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cm="1">
        <f t="array" ref="G741">IF(_xlfn.XLOOKUP(C741,customers!$A$1:$A$1001,customers!$C$1:$C$1001,_xleta.N/A,0)=0,"",_xlfn.XLOOKUP(C741,customers!$A$1:$A$1001,customers!$C$1:$C$1001,_xleta.N/A,0))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f t="shared" si="33"/>
        <v>18.225000000000001</v>
      </c>
      <c r="N741" t="str">
        <f t="shared" si="34"/>
        <v>Excelsa</v>
      </c>
      <c r="O741" t="str">
        <f t="shared" si="35"/>
        <v>Dark</v>
      </c>
      <c r="P741" t="str">
        <f>_xlfn.XLOOKUP(Table1[[#This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cm="1">
        <f t="array" ref="G742">IF(_xlfn.XLOOKUP(C742,customers!$A$1:$A$1001,customers!$C$1:$C$1001,_xleta.N/A,0)=0,"",_xlfn.XLOOKUP(C742,customers!$A$1:$A$1001,customers!$C$1:$C$1001,_xleta.N/A,0))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f t="shared" si="33"/>
        <v>28.679999999999996</v>
      </c>
      <c r="N742" t="str">
        <f t="shared" si="34"/>
        <v>Robusta</v>
      </c>
      <c r="O742" t="str">
        <f t="shared" si="35"/>
        <v>Large</v>
      </c>
      <c r="P742" t="str">
        <f>_xlfn.XLOOKUP(Table1[[#This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cm="1">
        <f t="array" ref="G743">IF(_xlfn.XLOOKUP(C743,customers!$A$1:$A$1001,customers!$C$1:$C$1001,_xleta.N/A,0)=0,"",_xlfn.XLOOKUP(C743,customers!$A$1:$A$1001,customers!$C$1:$C$1001,_xleta.N/A,0))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f t="shared" si="33"/>
        <v>8.73</v>
      </c>
      <c r="N743" t="str">
        <f t="shared" si="34"/>
        <v>Liberica</v>
      </c>
      <c r="O743" t="str">
        <f t="shared" si="35"/>
        <v>Medium</v>
      </c>
      <c r="P743" t="str">
        <f>_xlfn.XLOOKUP(Table1[[#This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cm="1">
        <f t="array" ref="G744">IF(_xlfn.XLOOKUP(C744,customers!$A$1:$A$1001,customers!$C$1:$C$1001,_xleta.N/A,0)=0,"",_xlfn.XLOOKUP(C744,customers!$A$1:$A$1001,customers!$C$1:$C$1001,_xleta.N/A,0))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f t="shared" si="33"/>
        <v>58.2</v>
      </c>
      <c r="N744" t="str">
        <f t="shared" si="34"/>
        <v>Liberica</v>
      </c>
      <c r="O744" t="str">
        <f t="shared" si="35"/>
        <v>Medium</v>
      </c>
      <c r="P744" t="str">
        <f>_xlfn.XLOOKUP(Table1[[#This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cm="1">
        <f t="array" ref="G745">IF(_xlfn.XLOOKUP(C745,customers!$A$1:$A$1001,customers!$C$1:$C$1001,_xleta.N/A,0)=0,"",_xlfn.XLOOKUP(C745,customers!$A$1:$A$1001,customers!$C$1:$C$1001,_xleta.N/A,0))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f t="shared" si="33"/>
        <v>17.91</v>
      </c>
      <c r="N745" t="str">
        <f t="shared" si="34"/>
        <v>Arabica</v>
      </c>
      <c r="O745" t="str">
        <f t="shared" si="35"/>
        <v>Dark</v>
      </c>
      <c r="P745" t="str">
        <f>_xlfn.XLOOKUP(Table1[[#This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cm="1">
        <f t="array" ref="G746">IF(_xlfn.XLOOKUP(C746,customers!$A$1:$A$1001,customers!$C$1:$C$1001,_xleta.N/A,0)=0,"",_xlfn.XLOOKUP(C746,customers!$A$1:$A$1001,customers!$C$1:$C$1001,_xleta.N/A,0))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f t="shared" si="33"/>
        <v>17.91</v>
      </c>
      <c r="N746" t="str">
        <f t="shared" si="34"/>
        <v>Robusta</v>
      </c>
      <c r="O746" t="str">
        <f t="shared" si="35"/>
        <v>Medium</v>
      </c>
      <c r="P746" t="str">
        <f>_xlfn.XLOOKUP(Table1[[#This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cm="1">
        <f t="array" ref="G747">IF(_xlfn.XLOOKUP(C747,customers!$A$1:$A$1001,customers!$C$1:$C$1001,_xleta.N/A,0)=0,"",_xlfn.XLOOKUP(C747,customers!$A$1:$A$1001,customers!$C$1:$C$1001,_xleta.N/A,0))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f t="shared" si="33"/>
        <v>14.58</v>
      </c>
      <c r="N747" t="str">
        <f t="shared" si="34"/>
        <v>Excelsa</v>
      </c>
      <c r="O747" t="str">
        <f t="shared" si="35"/>
        <v>Dark</v>
      </c>
      <c r="P747" t="str">
        <f>_xlfn.XLOOKUP(Table1[[#This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cm="1">
        <f t="array" ref="G748">IF(_xlfn.XLOOKUP(C748,customers!$A$1:$A$1001,customers!$C$1:$C$1001,_xleta.N/A,0)=0,"",_xlfn.XLOOKUP(C748,customers!$A$1:$A$1001,customers!$C$1:$C$1001,_xleta.N/A,0))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f t="shared" si="33"/>
        <v>33.75</v>
      </c>
      <c r="N748" t="str">
        <f t="shared" si="34"/>
        <v>Arabica</v>
      </c>
      <c r="O748" t="str">
        <f t="shared" si="35"/>
        <v>Medium</v>
      </c>
      <c r="P748" t="str">
        <f>_xlfn.XLOOKUP(Table1[[#This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cm="1">
        <f t="array" ref="G749">IF(_xlfn.XLOOKUP(C749,customers!$A$1:$A$1001,customers!$C$1:$C$1001,_xleta.N/A,0)=0,"",_xlfn.XLOOKUP(C749,customers!$A$1:$A$1001,customers!$C$1:$C$1001,_xleta.N/A,0))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f t="shared" si="33"/>
        <v>34.92</v>
      </c>
      <c r="N749" t="str">
        <f t="shared" si="34"/>
        <v>Liberica</v>
      </c>
      <c r="O749" t="str">
        <f t="shared" si="35"/>
        <v>Medium</v>
      </c>
      <c r="P749" t="str">
        <f>_xlfn.XLOOKUP(Table1[[#This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cm="1">
        <f t="array" ref="G750">IF(_xlfn.XLOOKUP(C750,customers!$A$1:$A$1001,customers!$C$1:$C$1001,_xleta.N/A,0)=0,"",_xlfn.XLOOKUP(C750,customers!$A$1:$A$1001,customers!$C$1:$C$1001,_xleta.N/A,0))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f t="shared" si="33"/>
        <v>14.58</v>
      </c>
      <c r="N750" t="str">
        <f t="shared" si="34"/>
        <v>Excelsa</v>
      </c>
      <c r="O750" t="str">
        <f t="shared" si="35"/>
        <v>Dark</v>
      </c>
      <c r="P750" t="str">
        <f>_xlfn.XLOOKUP(Table1[[#This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cm="1">
        <f t="array" ref="G751">IF(_xlfn.XLOOKUP(C751,customers!$A$1:$A$1001,customers!$C$1:$C$1001,_xleta.N/A,0)=0,"",_xlfn.XLOOKUP(C751,customers!$A$1:$A$1001,customers!$C$1:$C$1001,_xleta.N/A,0))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f t="shared" si="33"/>
        <v>5.3699999999999992</v>
      </c>
      <c r="N751" t="str">
        <f t="shared" si="34"/>
        <v>Robusta</v>
      </c>
      <c r="O751" t="str">
        <f t="shared" si="35"/>
        <v>Dark</v>
      </c>
      <c r="P751" t="str">
        <f>_xlfn.XLOOKUP(Table1[[#This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cm="1">
        <f t="array" ref="G752">IF(_xlfn.XLOOKUP(C752,customers!$A$1:$A$1001,customers!$C$1:$C$1001,_xleta.N/A,0)=0,"",_xlfn.XLOOKUP(C752,customers!$A$1:$A$1001,customers!$C$1:$C$1001,_xleta.N/A,0))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f t="shared" si="33"/>
        <v>5.97</v>
      </c>
      <c r="N752" t="str">
        <f t="shared" si="34"/>
        <v>Robusta</v>
      </c>
      <c r="O752" t="str">
        <f t="shared" si="35"/>
        <v>Medium</v>
      </c>
      <c r="P752" t="str">
        <f>_xlfn.XLOOKUP(Table1[[#This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cm="1">
        <f t="array" ref="G753">IF(_xlfn.XLOOKUP(C753,customers!$A$1:$A$1001,customers!$C$1:$C$1001,_xleta.N/A,0)=0,"",_xlfn.XLOOKUP(C753,customers!$A$1:$A$1001,customers!$C$1:$C$1001,_xleta.N/A,0))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f t="shared" si="33"/>
        <v>19.02</v>
      </c>
      <c r="N753" t="str">
        <f t="shared" si="34"/>
        <v>Liberica</v>
      </c>
      <c r="O753" t="str">
        <f t="shared" si="35"/>
        <v>Large</v>
      </c>
      <c r="P753" t="str">
        <f>_xlfn.XLOOKUP(Table1[[#This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cm="1">
        <f t="array" ref="G754">IF(_xlfn.XLOOKUP(C754,customers!$A$1:$A$1001,customers!$C$1:$C$1001,_xleta.N/A,0)=0,"",_xlfn.XLOOKUP(C754,customers!$A$1:$A$1001,customers!$C$1:$C$1001,_xleta.N/A,0))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f t="shared" si="33"/>
        <v>27.5</v>
      </c>
      <c r="N754" t="str">
        <f t="shared" si="34"/>
        <v>Excelsa</v>
      </c>
      <c r="O754" t="str">
        <f t="shared" si="35"/>
        <v>Medium</v>
      </c>
      <c r="P754" t="str">
        <f>_xlfn.XLOOKUP(Table1[[#This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cm="1">
        <f t="array" ref="G755">IF(_xlfn.XLOOKUP(C755,customers!$A$1:$A$1001,customers!$C$1:$C$1001,_xleta.N/A,0)=0,"",_xlfn.XLOOKUP(C755,customers!$A$1:$A$1001,customers!$C$1:$C$1001,_xleta.N/A,0))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f t="shared" si="33"/>
        <v>29.849999999999998</v>
      </c>
      <c r="N755" t="str">
        <f t="shared" si="34"/>
        <v>Arabica</v>
      </c>
      <c r="O755" t="str">
        <f t="shared" si="35"/>
        <v>Dark</v>
      </c>
      <c r="P755" t="str">
        <f>_xlfn.XLOOKUP(Table1[[#This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cm="1">
        <f t="array" ref="G756">IF(_xlfn.XLOOKUP(C756,customers!$A$1:$A$1001,customers!$C$1:$C$1001,_xleta.N/A,0)=0,"",_xlfn.XLOOKUP(C756,customers!$A$1:$A$1001,customers!$C$1:$C$1001,_xleta.N/A,0))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f t="shared" si="33"/>
        <v>17.91</v>
      </c>
      <c r="N756" t="str">
        <f t="shared" si="34"/>
        <v>Arabica</v>
      </c>
      <c r="O756" t="str">
        <f t="shared" si="35"/>
        <v>Dark</v>
      </c>
      <c r="P756" t="str">
        <f>_xlfn.XLOOKUP(Table1[[#This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cm="1">
        <f t="array" ref="G757">IF(_xlfn.XLOOKUP(C757,customers!$A$1:$A$1001,customers!$C$1:$C$1001,_xleta.N/A,0)=0,"",_xlfn.XLOOKUP(C757,customers!$A$1:$A$1001,customers!$C$1:$C$1001,_xleta.N/A,0))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f t="shared" si="33"/>
        <v>28.53</v>
      </c>
      <c r="N757" t="str">
        <f t="shared" si="34"/>
        <v>Liberica</v>
      </c>
      <c r="O757" t="str">
        <f t="shared" si="35"/>
        <v>Large</v>
      </c>
      <c r="P757" t="str">
        <f>_xlfn.XLOOKUP(Table1[[#This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cm="1">
        <f t="array" ref="G758">IF(_xlfn.XLOOKUP(C758,customers!$A$1:$A$1001,customers!$C$1:$C$1001,_xleta.N/A,0)=0,"",_xlfn.XLOOKUP(C758,customers!$A$1:$A$1001,customers!$C$1:$C$1001,_xleta.N/A,0))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f t="shared" si="33"/>
        <v>35.799999999999997</v>
      </c>
      <c r="N758" t="str">
        <f t="shared" si="34"/>
        <v>Robusta</v>
      </c>
      <c r="O758" t="str">
        <f t="shared" si="35"/>
        <v>Dark</v>
      </c>
      <c r="P758" t="str">
        <f>_xlfn.XLOOKUP(Table1[[#This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cm="1">
        <f t="array" ref="G759">IF(_xlfn.XLOOKUP(C759,customers!$A$1:$A$1001,customers!$C$1:$C$1001,_xleta.N/A,0)=0,"",_xlfn.XLOOKUP(C759,customers!$A$1:$A$1001,customers!$C$1:$C$1001,_xleta.N/A,0))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f t="shared" si="33"/>
        <v>17.91</v>
      </c>
      <c r="N759" t="str">
        <f t="shared" si="34"/>
        <v>Arabica</v>
      </c>
      <c r="O759" t="str">
        <f t="shared" si="35"/>
        <v>Dark</v>
      </c>
      <c r="P759" t="str">
        <f>_xlfn.XLOOKUP(Table1[[#This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cm="1">
        <f t="array" ref="G760">IF(_xlfn.XLOOKUP(C760,customers!$A$1:$A$1001,customers!$C$1:$C$1001,_xleta.N/A,0)=0,"",_xlfn.XLOOKUP(C760,customers!$A$1:$A$1001,customers!$C$1:$C$1001,_xleta.N/A,0))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f t="shared" si="33"/>
        <v>8.9499999999999993</v>
      </c>
      <c r="N760" t="str">
        <f t="shared" si="34"/>
        <v>Robusta</v>
      </c>
      <c r="O760" t="str">
        <f t="shared" si="35"/>
        <v>Dark</v>
      </c>
      <c r="P760" t="str">
        <f>_xlfn.XLOOKUP(Table1[[#This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cm="1">
        <f t="array" ref="G761">IF(_xlfn.XLOOKUP(C761,customers!$A$1:$A$1001,customers!$C$1:$C$1001,_xleta.N/A,0)=0,"",_xlfn.XLOOKUP(C761,customers!$A$1:$A$1001,customers!$C$1:$C$1001,_xleta.N/A,0))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f t="shared" si="33"/>
        <v>29.784999999999997</v>
      </c>
      <c r="N761" t="str">
        <f t="shared" si="34"/>
        <v>Liberica</v>
      </c>
      <c r="O761" t="str">
        <f t="shared" si="35"/>
        <v>Dark</v>
      </c>
      <c r="P761" t="str">
        <f>_xlfn.XLOOKUP(Table1[[#This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cm="1">
        <f t="array" ref="G762">IF(_xlfn.XLOOKUP(C762,customers!$A$1:$A$1001,customers!$C$1:$C$1001,_xleta.N/A,0)=0,"",_xlfn.XLOOKUP(C762,customers!$A$1:$A$1001,customers!$C$1:$C$1001,_xleta.N/A,0))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f t="shared" si="33"/>
        <v>44.55</v>
      </c>
      <c r="N762" t="str">
        <f t="shared" si="34"/>
        <v>Excelsa</v>
      </c>
      <c r="O762" t="str">
        <f t="shared" si="35"/>
        <v>Large</v>
      </c>
      <c r="P762" t="str">
        <f>_xlfn.XLOOKUP(Table1[[#This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cm="1">
        <f t="array" ref="G763">IF(_xlfn.XLOOKUP(C763,customers!$A$1:$A$1001,customers!$C$1:$C$1001,_xleta.N/A,0)=0,"",_xlfn.XLOOKUP(C763,customers!$A$1:$A$1001,customers!$C$1:$C$1001,_xleta.N/A,0))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f t="shared" si="33"/>
        <v>89.1</v>
      </c>
      <c r="N763" t="str">
        <f t="shared" si="34"/>
        <v>Excelsa</v>
      </c>
      <c r="O763" t="str">
        <f t="shared" si="35"/>
        <v>Large</v>
      </c>
      <c r="P763" t="str">
        <f>_xlfn.XLOOKUP(Table1[[#This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cm="1">
        <f t="array" ref="G764">IF(_xlfn.XLOOKUP(C764,customers!$A$1:$A$1001,customers!$C$1:$C$1001,_xleta.N/A,0)=0,"",_xlfn.XLOOKUP(C764,customers!$A$1:$A$1001,customers!$C$1:$C$1001,_xleta.N/A,0))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f t="shared" si="33"/>
        <v>43.650000000000006</v>
      </c>
      <c r="N764" t="str">
        <f t="shared" si="34"/>
        <v>Liberica</v>
      </c>
      <c r="O764" t="str">
        <f t="shared" si="35"/>
        <v>Medium</v>
      </c>
      <c r="P764" t="str">
        <f>_xlfn.XLOOKUP(Table1[[#This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cm="1">
        <f t="array" ref="G765">IF(_xlfn.XLOOKUP(C765,customers!$A$1:$A$1001,customers!$C$1:$C$1001,_xleta.N/A,0)=0,"",_xlfn.XLOOKUP(C765,customers!$A$1:$A$1001,customers!$C$1:$C$1001,_xleta.N/A,0))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f t="shared" si="33"/>
        <v>23.31</v>
      </c>
      <c r="N765" t="str">
        <f t="shared" si="34"/>
        <v>Arabica</v>
      </c>
      <c r="O765" t="str">
        <f t="shared" si="35"/>
        <v>Large</v>
      </c>
      <c r="P765" t="str">
        <f>_xlfn.XLOOKUP(Table1[[#This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cm="1">
        <f t="array" ref="G766">IF(_xlfn.XLOOKUP(C766,customers!$A$1:$A$1001,customers!$C$1:$C$1001,_xleta.N/A,0)=0,"",_xlfn.XLOOKUP(C766,customers!$A$1:$A$1001,customers!$C$1:$C$1001,_xleta.N/A,0))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f t="shared" si="33"/>
        <v>178.70999999999998</v>
      </c>
      <c r="N766" t="str">
        <f t="shared" si="34"/>
        <v>Arabica</v>
      </c>
      <c r="O766" t="str">
        <f t="shared" si="35"/>
        <v>Large</v>
      </c>
      <c r="P766" t="str">
        <f>_xlfn.XLOOKUP(Table1[[#This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cm="1">
        <f t="array" ref="G767">IF(_xlfn.XLOOKUP(C767,customers!$A$1:$A$1001,customers!$C$1:$C$1001,_xleta.N/A,0)=0,"",_xlfn.XLOOKUP(C767,customers!$A$1:$A$1001,customers!$C$1:$C$1001,_xleta.N/A,0))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f t="shared" si="33"/>
        <v>59.699999999999996</v>
      </c>
      <c r="N767" t="str">
        <f t="shared" si="34"/>
        <v>Robusta</v>
      </c>
      <c r="O767" t="str">
        <f t="shared" si="35"/>
        <v>Medium</v>
      </c>
      <c r="P767" t="str">
        <f>_xlfn.XLOOKUP(Table1[[#This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cm="1">
        <f t="array" ref="G768">IF(_xlfn.XLOOKUP(C768,customers!$A$1:$A$1001,customers!$C$1:$C$1001,_xleta.N/A,0)=0,"",_xlfn.XLOOKUP(C768,customers!$A$1:$A$1001,customers!$C$1:$C$1001,_xleta.N/A,0))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f t="shared" si="33"/>
        <v>15.54</v>
      </c>
      <c r="N768" t="str">
        <f t="shared" si="34"/>
        <v>Arabica</v>
      </c>
      <c r="O768" t="str">
        <f t="shared" si="35"/>
        <v>Large</v>
      </c>
      <c r="P768" t="str">
        <f>_xlfn.XLOOKUP(Table1[[#This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cm="1">
        <f t="array" ref="G769">IF(_xlfn.XLOOKUP(C769,customers!$A$1:$A$1001,customers!$C$1:$C$1001,_xleta.N/A,0)=0,"",_xlfn.XLOOKUP(C769,customers!$A$1:$A$1001,customers!$C$1:$C$1001,_xleta.N/A,0))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f t="shared" si="33"/>
        <v>89.35499999999999</v>
      </c>
      <c r="N769" t="str">
        <f t="shared" si="34"/>
        <v>Arabica</v>
      </c>
      <c r="O769" t="str">
        <f t="shared" si="35"/>
        <v>Large</v>
      </c>
      <c r="P769" t="str">
        <f>_xlfn.XLOOKUP(Table1[[#This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cm="1">
        <f t="array" ref="G770">IF(_xlfn.XLOOKUP(C770,customers!$A$1:$A$1001,customers!$C$1:$C$1001,_xleta.N/A,0)=0,"",_xlfn.XLOOKUP(C770,customers!$A$1:$A$1001,customers!$C$1:$C$1001,_xleta.N/A,0))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f t="shared" si="33"/>
        <v>23.9</v>
      </c>
      <c r="N770" t="str">
        <f t="shared" si="34"/>
        <v>Robusta</v>
      </c>
      <c r="O770" t="str">
        <f t="shared" si="35"/>
        <v>Large</v>
      </c>
      <c r="P770" t="str">
        <f>_xlfn.XLOOKUP(Table1[[#This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cm="1">
        <f t="array" ref="G771">IF(_xlfn.XLOOKUP(C771,customers!$A$1:$A$1001,customers!$C$1:$C$1001,_xleta.N/A,0)=0,"",_xlfn.XLOOKUP(C771,customers!$A$1:$A$1001,customers!$C$1:$C$1001,_xleta.N/A,0))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f t="shared" ref="M771:M834" si="36">L771*E771</f>
        <v>137.31</v>
      </c>
      <c r="N771" t="str">
        <f t="shared" ref="N771:N834" si="37">IF(I771="ROB","Robusta",IF(I771="EXC","Excelsa",IF(I771="Ara","Arabica",IF(I771="lib","Liberica",""))))</f>
        <v>Robusta</v>
      </c>
      <c r="O771" t="str">
        <f t="shared" ref="O771:O834" si="38">IF(J771="M","Medium",IF(J771="L","Large",IF(J771="D","Dark","")))</f>
        <v>Medium</v>
      </c>
      <c r="P771" t="str">
        <f>_xlfn.XLOOKUP(Table1[[#This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cm="1">
        <f t="array" ref="G772">IF(_xlfn.XLOOKUP(C772,customers!$A$1:$A$1001,customers!$C$1:$C$1001,_xleta.N/A,0)=0,"",_xlfn.XLOOKUP(C772,customers!$A$1:$A$1001,customers!$C$1:$C$1001,_xleta.N/A,0))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f t="shared" si="36"/>
        <v>9.9499999999999993</v>
      </c>
      <c r="N772" t="str">
        <f t="shared" si="37"/>
        <v>Arabica</v>
      </c>
      <c r="O772" t="str">
        <f t="shared" si="38"/>
        <v>Dark</v>
      </c>
      <c r="P772" t="str">
        <f>_xlfn.XLOOKUP(Table1[[#This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cm="1">
        <f t="array" ref="G773">IF(_xlfn.XLOOKUP(C773,customers!$A$1:$A$1001,customers!$C$1:$C$1001,_xleta.N/A,0)=0,"",_xlfn.XLOOKUP(C773,customers!$A$1:$A$1001,customers!$C$1:$C$1001,_xleta.N/A,0))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f t="shared" si="36"/>
        <v>21.509999999999998</v>
      </c>
      <c r="N773" t="str">
        <f t="shared" si="37"/>
        <v>Robusta</v>
      </c>
      <c r="O773" t="str">
        <f t="shared" si="38"/>
        <v>Large</v>
      </c>
      <c r="P773" t="str">
        <f>_xlfn.XLOOKUP(Table1[[#This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cm="1">
        <f t="array" ref="G774">IF(_xlfn.XLOOKUP(C774,customers!$A$1:$A$1001,customers!$C$1:$C$1001,_xleta.N/A,0)=0,"",_xlfn.XLOOKUP(C774,customers!$A$1:$A$1001,customers!$C$1:$C$1001,_xleta.N/A,0))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f t="shared" si="36"/>
        <v>82.5</v>
      </c>
      <c r="N774" t="str">
        <f t="shared" si="37"/>
        <v>Excelsa</v>
      </c>
      <c r="O774" t="str">
        <f t="shared" si="38"/>
        <v>Medium</v>
      </c>
      <c r="P774" t="str">
        <f>_xlfn.XLOOKUP(Table1[[#This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cm="1">
        <f t="array" ref="G775">IF(_xlfn.XLOOKUP(C775,customers!$A$1:$A$1001,customers!$C$1:$C$1001,_xleta.N/A,0)=0,"",_xlfn.XLOOKUP(C775,customers!$A$1:$A$1001,customers!$C$1:$C$1001,_xleta.N/A,0))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f t="shared" si="36"/>
        <v>8.73</v>
      </c>
      <c r="N775" t="str">
        <f t="shared" si="37"/>
        <v>Liberica</v>
      </c>
      <c r="O775" t="str">
        <f t="shared" si="38"/>
        <v>Medium</v>
      </c>
      <c r="P775" t="str">
        <f>_xlfn.XLOOKUP(Table1[[#This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cm="1">
        <f t="array" ref="G776">IF(_xlfn.XLOOKUP(C776,customers!$A$1:$A$1001,customers!$C$1:$C$1001,_xleta.N/A,0)=0,"",_xlfn.XLOOKUP(C776,customers!$A$1:$A$1001,customers!$C$1:$C$1001,_xleta.N/A,0))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f t="shared" si="36"/>
        <v>19.899999999999999</v>
      </c>
      <c r="N776" t="str">
        <f t="shared" si="37"/>
        <v>Robusta</v>
      </c>
      <c r="O776" t="str">
        <f t="shared" si="38"/>
        <v>Medium</v>
      </c>
      <c r="P776" t="str">
        <f>_xlfn.XLOOKUP(Table1[[#This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cm="1">
        <f t="array" ref="G777">IF(_xlfn.XLOOKUP(C777,customers!$A$1:$A$1001,customers!$C$1:$C$1001,_xleta.N/A,0)=0,"",_xlfn.XLOOKUP(C777,customers!$A$1:$A$1001,customers!$C$1:$C$1001,_xleta.N/A,0))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f t="shared" si="36"/>
        <v>17.82</v>
      </c>
      <c r="N777" t="str">
        <f t="shared" si="37"/>
        <v>Excelsa</v>
      </c>
      <c r="O777" t="str">
        <f t="shared" si="38"/>
        <v>Large</v>
      </c>
      <c r="P777" t="str">
        <f>_xlfn.XLOOKUP(Table1[[#This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cm="1">
        <f t="array" ref="G778">IF(_xlfn.XLOOKUP(C778,customers!$A$1:$A$1001,customers!$C$1:$C$1001,_xleta.N/A,0)=0,"",_xlfn.XLOOKUP(C778,customers!$A$1:$A$1001,customers!$C$1:$C$1001,_xleta.N/A,0))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f t="shared" si="36"/>
        <v>20.25</v>
      </c>
      <c r="N778" t="str">
        <f t="shared" si="37"/>
        <v>Arabica</v>
      </c>
      <c r="O778" t="str">
        <f t="shared" si="38"/>
        <v>Medium</v>
      </c>
      <c r="P778" t="str">
        <f>_xlfn.XLOOKUP(Table1[[#This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cm="1">
        <f t="array" ref="G779">IF(_xlfn.XLOOKUP(C779,customers!$A$1:$A$1001,customers!$C$1:$C$1001,_xleta.N/A,0)=0,"",_xlfn.XLOOKUP(C779,customers!$A$1:$A$1001,customers!$C$1:$C$1001,_xleta.N/A,0))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f t="shared" si="36"/>
        <v>59.569999999999993</v>
      </c>
      <c r="N779" t="str">
        <f t="shared" si="37"/>
        <v>Arabica</v>
      </c>
      <c r="O779" t="str">
        <f t="shared" si="38"/>
        <v>Large</v>
      </c>
      <c r="P779" t="str">
        <f>_xlfn.XLOOKUP(Table1[[#This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cm="1">
        <f t="array" ref="G780">IF(_xlfn.XLOOKUP(C780,customers!$A$1:$A$1001,customers!$C$1:$C$1001,_xleta.N/A,0)=0,"",_xlfn.XLOOKUP(C780,customers!$A$1:$A$1001,customers!$C$1:$C$1001,_xleta.N/A,0))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f t="shared" si="36"/>
        <v>19.02</v>
      </c>
      <c r="N780" t="str">
        <f t="shared" si="37"/>
        <v>Liberica</v>
      </c>
      <c r="O780" t="str">
        <f t="shared" si="38"/>
        <v>Large</v>
      </c>
      <c r="P780" t="str">
        <f>_xlfn.XLOOKUP(Table1[[#This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cm="1">
        <f t="array" ref="G781">IF(_xlfn.XLOOKUP(C781,customers!$A$1:$A$1001,customers!$C$1:$C$1001,_xleta.N/A,0)=0,"",_xlfn.XLOOKUP(C781,customers!$A$1:$A$1001,customers!$C$1:$C$1001,_xleta.N/A,0))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f t="shared" si="36"/>
        <v>77.699999999999989</v>
      </c>
      <c r="N781" t="str">
        <f t="shared" si="37"/>
        <v>Liberica</v>
      </c>
      <c r="O781" t="str">
        <f t="shared" si="38"/>
        <v>Dark</v>
      </c>
      <c r="P781" t="str">
        <f>_xlfn.XLOOKUP(Table1[[#This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cm="1">
        <f t="array" ref="G782">IF(_xlfn.XLOOKUP(C782,customers!$A$1:$A$1001,customers!$C$1:$C$1001,_xleta.N/A,0)=0,"",_xlfn.XLOOKUP(C782,customers!$A$1:$A$1001,customers!$C$1:$C$1001,_xleta.N/A,0))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f t="shared" si="36"/>
        <v>41.25</v>
      </c>
      <c r="N782" t="str">
        <f t="shared" si="37"/>
        <v>Excelsa</v>
      </c>
      <c r="O782" t="str">
        <f t="shared" si="38"/>
        <v>Medium</v>
      </c>
      <c r="P782" t="str">
        <f>_xlfn.XLOOKUP(Table1[[#This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cm="1">
        <f t="array" ref="G783">IF(_xlfn.XLOOKUP(C783,customers!$A$1:$A$1001,customers!$C$1:$C$1001,_xleta.N/A,0)=0,"",_xlfn.XLOOKUP(C783,customers!$A$1:$A$1001,customers!$C$1:$C$1001,_xleta.N/A,0))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f t="shared" si="36"/>
        <v>145.82</v>
      </c>
      <c r="N783" t="str">
        <f t="shared" si="37"/>
        <v>Liberica</v>
      </c>
      <c r="O783" t="str">
        <f t="shared" si="38"/>
        <v>Large</v>
      </c>
      <c r="P783" t="str">
        <f>_xlfn.XLOOKUP(Table1[[#This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cm="1">
        <f t="array" ref="G784">IF(_xlfn.XLOOKUP(C784,customers!$A$1:$A$1001,customers!$C$1:$C$1001,_xleta.N/A,0)=0,"",_xlfn.XLOOKUP(C784,customers!$A$1:$A$1001,customers!$C$1:$C$1001,_xleta.N/A,0))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f t="shared" si="36"/>
        <v>26.73</v>
      </c>
      <c r="N784" t="str">
        <f t="shared" si="37"/>
        <v>Excelsa</v>
      </c>
      <c r="O784" t="str">
        <f t="shared" si="38"/>
        <v>Large</v>
      </c>
      <c r="P784" t="str">
        <f>_xlfn.XLOOKUP(Table1[[#This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cm="1">
        <f t="array" ref="G785">IF(_xlfn.XLOOKUP(C785,customers!$A$1:$A$1001,customers!$C$1:$C$1001,_xleta.N/A,0)=0,"",_xlfn.XLOOKUP(C785,customers!$A$1:$A$1001,customers!$C$1:$C$1001,_xleta.N/A,0))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f t="shared" si="36"/>
        <v>43.650000000000006</v>
      </c>
      <c r="N785" t="str">
        <f t="shared" si="37"/>
        <v>Liberica</v>
      </c>
      <c r="O785" t="str">
        <f t="shared" si="38"/>
        <v>Medium</v>
      </c>
      <c r="P785" t="str">
        <f>_xlfn.XLOOKUP(Table1[[#This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cm="1">
        <f t="array" ref="G786">IF(_xlfn.XLOOKUP(C786,customers!$A$1:$A$1001,customers!$C$1:$C$1001,_xleta.N/A,0)=0,"",_xlfn.XLOOKUP(C786,customers!$A$1:$A$1001,customers!$C$1:$C$1001,_xleta.N/A,0))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f t="shared" si="36"/>
        <v>31.7</v>
      </c>
      <c r="N786" t="str">
        <f t="shared" si="37"/>
        <v>Liberica</v>
      </c>
      <c r="O786" t="str">
        <f t="shared" si="38"/>
        <v>Large</v>
      </c>
      <c r="P786" t="str">
        <f>_xlfn.XLOOKUP(Table1[[#This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cm="1">
        <f t="array" ref="G787">IF(_xlfn.XLOOKUP(C787,customers!$A$1:$A$1001,customers!$C$1:$C$1001,_xleta.N/A,0)=0,"",_xlfn.XLOOKUP(C787,customers!$A$1:$A$1001,customers!$C$1:$C$1001,_xleta.N/A,0))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f t="shared" si="36"/>
        <v>22.884999999999998</v>
      </c>
      <c r="N787" t="str">
        <f t="shared" si="37"/>
        <v>Arabica</v>
      </c>
      <c r="O787" t="str">
        <f t="shared" si="38"/>
        <v>Dark</v>
      </c>
      <c r="P787" t="str">
        <f>_xlfn.XLOOKUP(Table1[[#This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cm="1">
        <f t="array" ref="G788">IF(_xlfn.XLOOKUP(C788,customers!$A$1:$A$1001,customers!$C$1:$C$1001,_xleta.N/A,0)=0,"",_xlfn.XLOOKUP(C788,customers!$A$1:$A$1001,customers!$C$1:$C$1001,_xleta.N/A,0))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f t="shared" si="36"/>
        <v>27.945</v>
      </c>
      <c r="N788" t="str">
        <f t="shared" si="37"/>
        <v>Excelsa</v>
      </c>
      <c r="O788" t="str">
        <f t="shared" si="38"/>
        <v>Dark</v>
      </c>
      <c r="P788" t="str">
        <f>_xlfn.XLOOKUP(Table1[[#This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cm="1">
        <f t="array" ref="G789">IF(_xlfn.XLOOKUP(C789,customers!$A$1:$A$1001,customers!$C$1:$C$1001,_xleta.N/A,0)=0,"",_xlfn.XLOOKUP(C789,customers!$A$1:$A$1001,customers!$C$1:$C$1001,_xleta.N/A,0))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f t="shared" si="36"/>
        <v>82.5</v>
      </c>
      <c r="N789" t="str">
        <f t="shared" si="37"/>
        <v>Excelsa</v>
      </c>
      <c r="O789" t="str">
        <f t="shared" si="38"/>
        <v>Medium</v>
      </c>
      <c r="P789" t="str">
        <f>_xlfn.XLOOKUP(Table1[[#This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cm="1">
        <f t="array" ref="G790">IF(_xlfn.XLOOKUP(C790,customers!$A$1:$A$1001,customers!$C$1:$C$1001,_xleta.N/A,0)=0,"",_xlfn.XLOOKUP(C790,customers!$A$1:$A$1001,customers!$C$1:$C$1001,_xleta.N/A,0))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f t="shared" si="36"/>
        <v>45.769999999999996</v>
      </c>
      <c r="N790" t="str">
        <f t="shared" si="37"/>
        <v>Robusta</v>
      </c>
      <c r="O790" t="str">
        <f t="shared" si="38"/>
        <v>Medium</v>
      </c>
      <c r="P790" t="str">
        <f>_xlfn.XLOOKUP(Table1[[#This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cm="1">
        <f t="array" ref="G791">IF(_xlfn.XLOOKUP(C791,customers!$A$1:$A$1001,customers!$C$1:$C$1001,_xleta.N/A,0)=0,"",_xlfn.XLOOKUP(C791,customers!$A$1:$A$1001,customers!$C$1:$C$1001,_xleta.N/A,0))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f t="shared" si="36"/>
        <v>77.699999999999989</v>
      </c>
      <c r="N791" t="str">
        <f t="shared" si="37"/>
        <v>Arabica</v>
      </c>
      <c r="O791" t="str">
        <f t="shared" si="38"/>
        <v>Large</v>
      </c>
      <c r="P791" t="str">
        <f>_xlfn.XLOOKUP(Table1[[#This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cm="1">
        <f t="array" ref="G792">IF(_xlfn.XLOOKUP(C792,customers!$A$1:$A$1001,customers!$C$1:$C$1001,_xleta.N/A,0)=0,"",_xlfn.XLOOKUP(C792,customers!$A$1:$A$1001,customers!$C$1:$C$1001,_xleta.N/A,0))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f t="shared" si="36"/>
        <v>23.31</v>
      </c>
      <c r="N792" t="str">
        <f t="shared" si="37"/>
        <v>Arabica</v>
      </c>
      <c r="O792" t="str">
        <f t="shared" si="38"/>
        <v>Large</v>
      </c>
      <c r="P792" t="str">
        <f>_xlfn.XLOOKUP(Table1[[#This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cm="1">
        <f t="array" ref="G793">IF(_xlfn.XLOOKUP(C793,customers!$A$1:$A$1001,customers!$C$1:$C$1001,_xleta.N/A,0)=0,"",_xlfn.XLOOKUP(C793,customers!$A$1:$A$1001,customers!$C$1:$C$1001,_xleta.N/A,0))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f t="shared" si="36"/>
        <v>23.774999999999999</v>
      </c>
      <c r="N793" t="str">
        <f t="shared" si="37"/>
        <v>Liberica</v>
      </c>
      <c r="O793" t="str">
        <f t="shared" si="38"/>
        <v>Large</v>
      </c>
      <c r="P793" t="str">
        <f>_xlfn.XLOOKUP(Table1[[#This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cm="1">
        <f t="array" ref="G794">IF(_xlfn.XLOOKUP(C794,customers!$A$1:$A$1001,customers!$C$1:$C$1001,_xleta.N/A,0)=0,"",_xlfn.XLOOKUP(C794,customers!$A$1:$A$1001,customers!$C$1:$C$1001,_xleta.N/A,0))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f t="shared" si="36"/>
        <v>52.38</v>
      </c>
      <c r="N794" t="str">
        <f t="shared" si="37"/>
        <v>Liberica</v>
      </c>
      <c r="O794" t="str">
        <f t="shared" si="38"/>
        <v>Medium</v>
      </c>
      <c r="P794" t="str">
        <f>_xlfn.XLOOKUP(Table1[[#This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cm="1">
        <f t="array" ref="G795">IF(_xlfn.XLOOKUP(C795,customers!$A$1:$A$1001,customers!$C$1:$C$1001,_xleta.N/A,0)=0,"",_xlfn.XLOOKUP(C795,customers!$A$1:$A$1001,customers!$C$1:$C$1001,_xleta.N/A,0))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f t="shared" si="36"/>
        <v>17.924999999999997</v>
      </c>
      <c r="N795" t="str">
        <f t="shared" si="37"/>
        <v>Robusta</v>
      </c>
      <c r="O795" t="str">
        <f t="shared" si="38"/>
        <v>Large</v>
      </c>
      <c r="P795" t="str">
        <f>_xlfn.XLOOKUP(Table1[[#This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cm="1">
        <f t="array" ref="G796">IF(_xlfn.XLOOKUP(C796,customers!$A$1:$A$1001,customers!$C$1:$C$1001,_xleta.N/A,0)=0,"",_xlfn.XLOOKUP(C796,customers!$A$1:$A$1001,customers!$C$1:$C$1001,_xleta.N/A,0))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f t="shared" si="36"/>
        <v>148.92499999999998</v>
      </c>
      <c r="N796" t="str">
        <f t="shared" si="37"/>
        <v>Arabica</v>
      </c>
      <c r="O796" t="str">
        <f t="shared" si="38"/>
        <v>Large</v>
      </c>
      <c r="P796" t="str">
        <f>_xlfn.XLOOKUP(Table1[[#This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cm="1">
        <f t="array" ref="G797">IF(_xlfn.XLOOKUP(C797,customers!$A$1:$A$1001,customers!$C$1:$C$1001,_xleta.N/A,0)=0,"",_xlfn.XLOOKUP(C797,customers!$A$1:$A$1001,customers!$C$1:$C$1001,_xleta.N/A,0))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f t="shared" si="36"/>
        <v>28.679999999999996</v>
      </c>
      <c r="N797" t="str">
        <f t="shared" si="37"/>
        <v>Robusta</v>
      </c>
      <c r="O797" t="str">
        <f t="shared" si="38"/>
        <v>Large</v>
      </c>
      <c r="P797" t="str">
        <f>_xlfn.XLOOKUP(Table1[[#This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cm="1">
        <f t="array" ref="G798">IF(_xlfn.XLOOKUP(C798,customers!$A$1:$A$1001,customers!$C$1:$C$1001,_xleta.N/A,0)=0,"",_xlfn.XLOOKUP(C798,customers!$A$1:$A$1001,customers!$C$1:$C$1001,_xleta.N/A,0))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f t="shared" si="36"/>
        <v>9.51</v>
      </c>
      <c r="N798" t="str">
        <f t="shared" si="37"/>
        <v>Liberica</v>
      </c>
      <c r="O798" t="str">
        <f t="shared" si="38"/>
        <v>Large</v>
      </c>
      <c r="P798" t="str">
        <f>_xlfn.XLOOKUP(Table1[[#This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cm="1">
        <f t="array" ref="G799">IF(_xlfn.XLOOKUP(C799,customers!$A$1:$A$1001,customers!$C$1:$C$1001,_xleta.N/A,0)=0,"",_xlfn.XLOOKUP(C799,customers!$A$1:$A$1001,customers!$C$1:$C$1001,_xleta.N/A,0))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f t="shared" si="36"/>
        <v>31.08</v>
      </c>
      <c r="N799" t="str">
        <f t="shared" si="37"/>
        <v>Arabica</v>
      </c>
      <c r="O799" t="str">
        <f t="shared" si="38"/>
        <v>Large</v>
      </c>
      <c r="P799" t="str">
        <f>_xlfn.XLOOKUP(Table1[[#This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cm="1">
        <f t="array" ref="G800">IF(_xlfn.XLOOKUP(C800,customers!$A$1:$A$1001,customers!$C$1:$C$1001,_xleta.N/A,0)=0,"",_xlfn.XLOOKUP(C800,customers!$A$1:$A$1001,customers!$C$1:$C$1001,_xleta.N/A,0))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f t="shared" si="36"/>
        <v>8.0549999999999997</v>
      </c>
      <c r="N800" t="str">
        <f t="shared" si="37"/>
        <v>Robusta</v>
      </c>
      <c r="O800" t="str">
        <f t="shared" si="38"/>
        <v>Dark</v>
      </c>
      <c r="P800" t="str">
        <f>_xlfn.XLOOKUP(Table1[[#This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cm="1">
        <f t="array" ref="G801">IF(_xlfn.XLOOKUP(C801,customers!$A$1:$A$1001,customers!$C$1:$C$1001,_xleta.N/A,0)=0,"",_xlfn.XLOOKUP(C801,customers!$A$1:$A$1001,customers!$C$1:$C$1001,_xleta.N/A,0))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f t="shared" si="36"/>
        <v>36.450000000000003</v>
      </c>
      <c r="N801" t="str">
        <f t="shared" si="37"/>
        <v>Excelsa</v>
      </c>
      <c r="O801" t="str">
        <f t="shared" si="38"/>
        <v>Dark</v>
      </c>
      <c r="P801" t="str">
        <f>_xlfn.XLOOKUP(Table1[[#This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cm="1">
        <f t="array" ref="G802">IF(_xlfn.XLOOKUP(C802,customers!$A$1:$A$1001,customers!$C$1:$C$1001,_xleta.N/A,0)=0,"",_xlfn.XLOOKUP(C802,customers!$A$1:$A$1001,customers!$C$1:$C$1001,_xleta.N/A,0))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f t="shared" si="36"/>
        <v>16.11</v>
      </c>
      <c r="N802" t="str">
        <f t="shared" si="37"/>
        <v>Robusta</v>
      </c>
      <c r="O802" t="str">
        <f t="shared" si="38"/>
        <v>Dark</v>
      </c>
      <c r="P802" t="str">
        <f>_xlfn.XLOOKUP(Table1[[#This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cm="1">
        <f t="array" ref="G803">IF(_xlfn.XLOOKUP(C803,customers!$A$1:$A$1001,customers!$C$1:$C$1001,_xleta.N/A,0)=0,"",_xlfn.XLOOKUP(C803,customers!$A$1:$A$1001,customers!$C$1:$C$1001,_xleta.N/A,0))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f t="shared" si="36"/>
        <v>41.169999999999995</v>
      </c>
      <c r="N803" t="str">
        <f t="shared" si="37"/>
        <v>Robusta</v>
      </c>
      <c r="O803" t="str">
        <f t="shared" si="38"/>
        <v>Dark</v>
      </c>
      <c r="P803" t="str">
        <f>_xlfn.XLOOKUP(Table1[[#This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cm="1">
        <f t="array" ref="G804">IF(_xlfn.XLOOKUP(C804,customers!$A$1:$A$1001,customers!$C$1:$C$1001,_xleta.N/A,0)=0,"",_xlfn.XLOOKUP(C804,customers!$A$1:$A$1001,customers!$C$1:$C$1001,_xleta.N/A,0))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f t="shared" si="36"/>
        <v>10.739999999999998</v>
      </c>
      <c r="N804" t="str">
        <f t="shared" si="37"/>
        <v>Robusta</v>
      </c>
      <c r="O804" t="str">
        <f t="shared" si="38"/>
        <v>Dark</v>
      </c>
      <c r="P804" t="str">
        <f>_xlfn.XLOOKUP(Table1[[#This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cm="1">
        <f t="array" ref="G805">IF(_xlfn.XLOOKUP(C805,customers!$A$1:$A$1001,customers!$C$1:$C$1001,_xleta.N/A,0)=0,"",_xlfn.XLOOKUP(C805,customers!$A$1:$A$1001,customers!$C$1:$C$1001,_xleta.N/A,0))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f t="shared" si="36"/>
        <v>126.49999999999999</v>
      </c>
      <c r="N805" t="str">
        <f t="shared" si="37"/>
        <v>Excelsa</v>
      </c>
      <c r="O805" t="str">
        <f t="shared" si="38"/>
        <v>Medium</v>
      </c>
      <c r="P805" t="str">
        <f>_xlfn.XLOOKUP(Table1[[#This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cm="1">
        <f t="array" ref="G806">IF(_xlfn.XLOOKUP(C806,customers!$A$1:$A$1001,customers!$C$1:$C$1001,_xleta.N/A,0)=0,"",_xlfn.XLOOKUP(C806,customers!$A$1:$A$1001,customers!$C$1:$C$1001,_xleta.N/A,0))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f t="shared" si="36"/>
        <v>23.9</v>
      </c>
      <c r="N806" t="str">
        <f t="shared" si="37"/>
        <v>Robusta</v>
      </c>
      <c r="O806" t="str">
        <f t="shared" si="38"/>
        <v>Large</v>
      </c>
      <c r="P806" t="str">
        <f>_xlfn.XLOOKUP(Table1[[#This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cm="1">
        <f t="array" ref="G807">IF(_xlfn.XLOOKUP(C807,customers!$A$1:$A$1001,customers!$C$1:$C$1001,_xleta.N/A,0)=0,"",_xlfn.XLOOKUP(C807,customers!$A$1:$A$1001,customers!$C$1:$C$1001,_xleta.N/A,0))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f t="shared" si="36"/>
        <v>5.97</v>
      </c>
      <c r="N807" t="str">
        <f t="shared" si="37"/>
        <v>Robusta</v>
      </c>
      <c r="O807" t="str">
        <f t="shared" si="38"/>
        <v>Medium</v>
      </c>
      <c r="P807" t="str">
        <f>_xlfn.XLOOKUP(Table1[[#This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cm="1">
        <f t="array" ref="G808">IF(_xlfn.XLOOKUP(C808,customers!$A$1:$A$1001,customers!$C$1:$C$1001,_xleta.N/A,0)=0,"",_xlfn.XLOOKUP(C808,customers!$A$1:$A$1001,customers!$C$1:$C$1001,_xleta.N/A,0))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f t="shared" si="36"/>
        <v>7.77</v>
      </c>
      <c r="N808" t="str">
        <f t="shared" si="37"/>
        <v>Liberica</v>
      </c>
      <c r="O808" t="str">
        <f t="shared" si="38"/>
        <v>Dark</v>
      </c>
      <c r="P808" t="str">
        <f>_xlfn.XLOOKUP(Table1[[#This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cm="1">
        <f t="array" ref="G809">IF(_xlfn.XLOOKUP(C809,customers!$A$1:$A$1001,customers!$C$1:$C$1001,_xleta.N/A,0)=0,"",_xlfn.XLOOKUP(C809,customers!$A$1:$A$1001,customers!$C$1:$C$1001,_xleta.N/A,0))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f t="shared" si="36"/>
        <v>23.31</v>
      </c>
      <c r="N809" t="str">
        <f t="shared" si="37"/>
        <v>Liberica</v>
      </c>
      <c r="O809" t="str">
        <f t="shared" si="38"/>
        <v>Dark</v>
      </c>
      <c r="P809" t="str">
        <f>_xlfn.XLOOKUP(Table1[[#This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cm="1">
        <f t="array" ref="G810">IF(_xlfn.XLOOKUP(C810,customers!$A$1:$A$1001,customers!$C$1:$C$1001,_xleta.N/A,0)=0,"",_xlfn.XLOOKUP(C810,customers!$A$1:$A$1001,customers!$C$1:$C$1001,_xleta.N/A,0))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f t="shared" si="36"/>
        <v>137.42499999999998</v>
      </c>
      <c r="N810" t="str">
        <f t="shared" si="37"/>
        <v>Robusta</v>
      </c>
      <c r="O810" t="str">
        <f t="shared" si="38"/>
        <v>Large</v>
      </c>
      <c r="P810" t="str">
        <f>_xlfn.XLOOKUP(Table1[[#This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cm="1">
        <f t="array" ref="G811">IF(_xlfn.XLOOKUP(C811,customers!$A$1:$A$1001,customers!$C$1:$C$1001,_xleta.N/A,0)=0,"",_xlfn.XLOOKUP(C811,customers!$A$1:$A$1001,customers!$C$1:$C$1001,_xleta.N/A,0))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f t="shared" si="36"/>
        <v>8.0549999999999997</v>
      </c>
      <c r="N811" t="str">
        <f t="shared" si="37"/>
        <v>Robusta</v>
      </c>
      <c r="O811" t="str">
        <f t="shared" si="38"/>
        <v>Dark</v>
      </c>
      <c r="P811" t="str">
        <f>_xlfn.XLOOKUP(Table1[[#This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cm="1">
        <f t="array" ref="G812">IF(_xlfn.XLOOKUP(C812,customers!$A$1:$A$1001,customers!$C$1:$C$1001,_xleta.N/A,0)=0,"",_xlfn.XLOOKUP(C812,customers!$A$1:$A$1001,customers!$C$1:$C$1001,_xleta.N/A,0))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f t="shared" si="36"/>
        <v>28.53</v>
      </c>
      <c r="N812" t="str">
        <f t="shared" si="37"/>
        <v>Liberica</v>
      </c>
      <c r="O812" t="str">
        <f t="shared" si="38"/>
        <v>Large</v>
      </c>
      <c r="P812" t="str">
        <f>_xlfn.XLOOKUP(Table1[[#This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cm="1">
        <f t="array" ref="G813">IF(_xlfn.XLOOKUP(C813,customers!$A$1:$A$1001,customers!$C$1:$C$1001,_xleta.N/A,0)=0,"",_xlfn.XLOOKUP(C813,customers!$A$1:$A$1001,customers!$C$1:$C$1001,_xleta.N/A,0))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f t="shared" si="36"/>
        <v>67.5</v>
      </c>
      <c r="N813" t="str">
        <f t="shared" si="37"/>
        <v>Arabica</v>
      </c>
      <c r="O813" t="str">
        <f t="shared" si="38"/>
        <v>Medium</v>
      </c>
      <c r="P813" t="str">
        <f>_xlfn.XLOOKUP(Table1[[#This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cm="1">
        <f t="array" ref="G814">IF(_xlfn.XLOOKUP(C814,customers!$A$1:$A$1001,customers!$C$1:$C$1001,_xleta.N/A,0)=0,"",_xlfn.XLOOKUP(C814,customers!$A$1:$A$1001,customers!$C$1:$C$1001,_xleta.N/A,0))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f t="shared" si="36"/>
        <v>178.70999999999998</v>
      </c>
      <c r="N814" t="str">
        <f t="shared" si="37"/>
        <v>Liberica</v>
      </c>
      <c r="O814" t="str">
        <f t="shared" si="38"/>
        <v>Dark</v>
      </c>
      <c r="P814" t="str">
        <f>_xlfn.XLOOKUP(Table1[[#This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cm="1">
        <f t="array" ref="G815">IF(_xlfn.XLOOKUP(C815,customers!$A$1:$A$1001,customers!$C$1:$C$1001,_xleta.N/A,0)=0,"",_xlfn.XLOOKUP(C815,customers!$A$1:$A$1001,customers!$C$1:$C$1001,_xleta.N/A,0))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f t="shared" si="36"/>
        <v>31.624999999999996</v>
      </c>
      <c r="N815" t="str">
        <f t="shared" si="37"/>
        <v>Excelsa</v>
      </c>
      <c r="O815" t="str">
        <f t="shared" si="38"/>
        <v>Medium</v>
      </c>
      <c r="P815" t="str">
        <f>_xlfn.XLOOKUP(Table1[[#This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cm="1">
        <f t="array" ref="G816">IF(_xlfn.XLOOKUP(C816,customers!$A$1:$A$1001,customers!$C$1:$C$1001,_xleta.N/A,0)=0,"",_xlfn.XLOOKUP(C816,customers!$A$1:$A$1001,customers!$C$1:$C$1001,_xleta.N/A,0))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f t="shared" si="36"/>
        <v>8.91</v>
      </c>
      <c r="N816" t="str">
        <f t="shared" si="37"/>
        <v>Excelsa</v>
      </c>
      <c r="O816" t="str">
        <f t="shared" si="38"/>
        <v>Large</v>
      </c>
      <c r="P816" t="str">
        <f>_xlfn.XLOOKUP(Table1[[#This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cm="1">
        <f t="array" ref="G817">IF(_xlfn.XLOOKUP(C817,customers!$A$1:$A$1001,customers!$C$1:$C$1001,_xleta.N/A,0)=0,"",_xlfn.XLOOKUP(C817,customers!$A$1:$A$1001,customers!$C$1:$C$1001,_xleta.N/A,0))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f t="shared" si="36"/>
        <v>35.82</v>
      </c>
      <c r="N817" t="str">
        <f t="shared" si="37"/>
        <v>Robusta</v>
      </c>
      <c r="O817" t="str">
        <f t="shared" si="38"/>
        <v>Medium</v>
      </c>
      <c r="P817" t="str">
        <f>_xlfn.XLOOKUP(Table1[[#This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cm="1">
        <f t="array" ref="G818">IF(_xlfn.XLOOKUP(C818,customers!$A$1:$A$1001,customers!$C$1:$C$1001,_xleta.N/A,0)=0,"",_xlfn.XLOOKUP(C818,customers!$A$1:$A$1001,customers!$C$1:$C$1001,_xleta.N/A,0))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f t="shared" si="36"/>
        <v>38.04</v>
      </c>
      <c r="N818" t="str">
        <f t="shared" si="37"/>
        <v>Liberica</v>
      </c>
      <c r="O818" t="str">
        <f t="shared" si="38"/>
        <v>Large</v>
      </c>
      <c r="P818" t="str">
        <f>_xlfn.XLOOKUP(Table1[[#This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cm="1">
        <f t="array" ref="G819">IF(_xlfn.XLOOKUP(C819,customers!$A$1:$A$1001,customers!$C$1:$C$1001,_xleta.N/A,0)=0,"",_xlfn.XLOOKUP(C819,customers!$A$1:$A$1001,customers!$C$1:$C$1001,_xleta.N/A,0))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f t="shared" si="36"/>
        <v>15.54</v>
      </c>
      <c r="N819" t="str">
        <f t="shared" si="37"/>
        <v>Liberica</v>
      </c>
      <c r="O819" t="str">
        <f t="shared" si="38"/>
        <v>Dark</v>
      </c>
      <c r="P819" t="str">
        <f>_xlfn.XLOOKUP(Table1[[#This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cm="1">
        <f t="array" ref="G820">IF(_xlfn.XLOOKUP(C820,customers!$A$1:$A$1001,customers!$C$1:$C$1001,_xleta.N/A,0)=0,"",_xlfn.XLOOKUP(C820,customers!$A$1:$A$1001,customers!$C$1:$C$1001,_xleta.N/A,0))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f t="shared" si="36"/>
        <v>79.25</v>
      </c>
      <c r="N820" t="str">
        <f t="shared" si="37"/>
        <v>Liberica</v>
      </c>
      <c r="O820" t="str">
        <f t="shared" si="38"/>
        <v>Large</v>
      </c>
      <c r="P820" t="str">
        <f>_xlfn.XLOOKUP(Table1[[#This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cm="1">
        <f t="array" ref="G821">IF(_xlfn.XLOOKUP(C821,customers!$A$1:$A$1001,customers!$C$1:$C$1001,_xleta.N/A,0)=0,"",_xlfn.XLOOKUP(C821,customers!$A$1:$A$1001,customers!$C$1:$C$1001,_xleta.N/A,0))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f t="shared" si="36"/>
        <v>4.7549999999999999</v>
      </c>
      <c r="N821" t="str">
        <f t="shared" si="37"/>
        <v>Liberica</v>
      </c>
      <c r="O821" t="str">
        <f t="shared" si="38"/>
        <v>Large</v>
      </c>
      <c r="P821" t="str">
        <f>_xlfn.XLOOKUP(Table1[[#This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cm="1">
        <f t="array" ref="G822">IF(_xlfn.XLOOKUP(C822,customers!$A$1:$A$1001,customers!$C$1:$C$1001,_xleta.N/A,0)=0,"",_xlfn.XLOOKUP(C822,customers!$A$1:$A$1001,customers!$C$1:$C$1001,_xleta.N/A,0))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f t="shared" si="36"/>
        <v>55</v>
      </c>
      <c r="N822" t="str">
        <f t="shared" si="37"/>
        <v>Excelsa</v>
      </c>
      <c r="O822" t="str">
        <f t="shared" si="38"/>
        <v>Medium</v>
      </c>
      <c r="P822" t="str">
        <f>_xlfn.XLOOKUP(Table1[[#This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cm="1">
        <f t="array" ref="G823">IF(_xlfn.XLOOKUP(C823,customers!$A$1:$A$1001,customers!$C$1:$C$1001,_xleta.N/A,0)=0,"",_xlfn.XLOOKUP(C823,customers!$A$1:$A$1001,customers!$C$1:$C$1001,_xleta.N/A,0))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f t="shared" si="36"/>
        <v>26.849999999999994</v>
      </c>
      <c r="N823" t="str">
        <f t="shared" si="37"/>
        <v>Robusta</v>
      </c>
      <c r="O823" t="str">
        <f t="shared" si="38"/>
        <v>Dark</v>
      </c>
      <c r="P823" t="str">
        <f>_xlfn.XLOOKUP(Table1[[#This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cm="1">
        <f t="array" ref="G824">IF(_xlfn.XLOOKUP(C824,customers!$A$1:$A$1001,customers!$C$1:$C$1001,_xleta.N/A,0)=0,"",_xlfn.XLOOKUP(C824,customers!$A$1:$A$1001,customers!$C$1:$C$1001,_xleta.N/A,0))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f t="shared" si="36"/>
        <v>136.61999999999998</v>
      </c>
      <c r="N824" t="str">
        <f t="shared" si="37"/>
        <v>Excelsa</v>
      </c>
      <c r="O824" t="str">
        <f t="shared" si="38"/>
        <v>Large</v>
      </c>
      <c r="P824" t="str">
        <f>_xlfn.XLOOKUP(Table1[[#This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cm="1">
        <f t="array" ref="G825">IF(_xlfn.XLOOKUP(C825,customers!$A$1:$A$1001,customers!$C$1:$C$1001,_xleta.N/A,0)=0,"",_xlfn.XLOOKUP(C825,customers!$A$1:$A$1001,customers!$C$1:$C$1001,_xleta.N/A,0))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f t="shared" si="36"/>
        <v>47.55</v>
      </c>
      <c r="N825" t="str">
        <f t="shared" si="37"/>
        <v>Liberica</v>
      </c>
      <c r="O825" t="str">
        <f t="shared" si="38"/>
        <v>Large</v>
      </c>
      <c r="P825" t="str">
        <f>_xlfn.XLOOKUP(Table1[[#This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cm="1">
        <f t="array" ref="G826">IF(_xlfn.XLOOKUP(C826,customers!$A$1:$A$1001,customers!$C$1:$C$1001,_xleta.N/A,0)=0,"",_xlfn.XLOOKUP(C826,customers!$A$1:$A$1001,customers!$C$1:$C$1001,_xleta.N/A,0))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f t="shared" si="36"/>
        <v>16.875</v>
      </c>
      <c r="N826" t="str">
        <f t="shared" si="37"/>
        <v>Arabica</v>
      </c>
      <c r="O826" t="str">
        <f t="shared" si="38"/>
        <v>Medium</v>
      </c>
      <c r="P826" t="str">
        <f>_xlfn.XLOOKUP(Table1[[#This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cm="1">
        <f t="array" ref="G827">IF(_xlfn.XLOOKUP(C827,customers!$A$1:$A$1001,customers!$C$1:$C$1001,_xleta.N/A,0)=0,"",_xlfn.XLOOKUP(C827,customers!$A$1:$A$1001,customers!$C$1:$C$1001,_xleta.N/A,0))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f t="shared" si="36"/>
        <v>29.849999999999998</v>
      </c>
      <c r="N827" t="str">
        <f t="shared" si="37"/>
        <v>Arabica</v>
      </c>
      <c r="O827" t="str">
        <f t="shared" si="38"/>
        <v>Dark</v>
      </c>
      <c r="P827" t="str">
        <f>_xlfn.XLOOKUP(Table1[[#This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cm="1">
        <f t="array" ref="G828">IF(_xlfn.XLOOKUP(C828,customers!$A$1:$A$1001,customers!$C$1:$C$1001,_xleta.N/A,0)=0,"",_xlfn.XLOOKUP(C828,customers!$A$1:$A$1001,customers!$C$1:$C$1001,_xleta.N/A,0))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f t="shared" si="36"/>
        <v>41.25</v>
      </c>
      <c r="N828" t="str">
        <f t="shared" si="37"/>
        <v>Excelsa</v>
      </c>
      <c r="O828" t="str">
        <f t="shared" si="38"/>
        <v>Medium</v>
      </c>
      <c r="P828" t="str">
        <f>_xlfn.XLOOKUP(Table1[[#This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cm="1">
        <f t="array" ref="G829">IF(_xlfn.XLOOKUP(C829,customers!$A$1:$A$1001,customers!$C$1:$C$1001,_xleta.N/A,0)=0,"",_xlfn.XLOOKUP(C829,customers!$A$1:$A$1001,customers!$C$1:$C$1001,_xleta.N/A,0))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f t="shared" si="36"/>
        <v>20.625</v>
      </c>
      <c r="N829" t="str">
        <f t="shared" si="37"/>
        <v>Excelsa</v>
      </c>
      <c r="O829" t="str">
        <f t="shared" si="38"/>
        <v>Medium</v>
      </c>
      <c r="P829" t="str">
        <f>_xlfn.XLOOKUP(Table1[[#This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cm="1">
        <f t="array" ref="G830">IF(_xlfn.XLOOKUP(C830,customers!$A$1:$A$1001,customers!$C$1:$C$1001,_xleta.N/A,0)=0,"",_xlfn.XLOOKUP(C830,customers!$A$1:$A$1001,customers!$C$1:$C$1001,_xleta.N/A,0))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f t="shared" si="36"/>
        <v>137.31</v>
      </c>
      <c r="N830" t="str">
        <f t="shared" si="37"/>
        <v>Arabica</v>
      </c>
      <c r="O830" t="str">
        <f t="shared" si="38"/>
        <v>Dark</v>
      </c>
      <c r="P830" t="str">
        <f>_xlfn.XLOOKUP(Table1[[#This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cm="1">
        <f t="array" ref="G831">IF(_xlfn.XLOOKUP(C831,customers!$A$1:$A$1001,customers!$C$1:$C$1001,_xleta.N/A,0)=0,"",_xlfn.XLOOKUP(C831,customers!$A$1:$A$1001,customers!$C$1:$C$1001,_xleta.N/A,0))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f t="shared" si="36"/>
        <v>2.9849999999999999</v>
      </c>
      <c r="N831" t="str">
        <f t="shared" si="37"/>
        <v>Arabica</v>
      </c>
      <c r="O831" t="str">
        <f t="shared" si="38"/>
        <v>Dark</v>
      </c>
      <c r="P831" t="str">
        <f>_xlfn.XLOOKUP(Table1[[#This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cm="1">
        <f t="array" ref="G832">IF(_xlfn.XLOOKUP(C832,customers!$A$1:$A$1001,customers!$C$1:$C$1001,_xleta.N/A,0)=0,"",_xlfn.XLOOKUP(C832,customers!$A$1:$A$1001,customers!$C$1:$C$1001,_xleta.N/A,0))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f t="shared" si="36"/>
        <v>27.5</v>
      </c>
      <c r="N832" t="str">
        <f t="shared" si="37"/>
        <v>Excelsa</v>
      </c>
      <c r="O832" t="str">
        <f t="shared" si="38"/>
        <v>Medium</v>
      </c>
      <c r="P832" t="str">
        <f>_xlfn.XLOOKUP(Table1[[#This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cm="1">
        <f t="array" ref="G833">IF(_xlfn.XLOOKUP(C833,customers!$A$1:$A$1001,customers!$C$1:$C$1001,_xleta.N/A,0)=0,"",_xlfn.XLOOKUP(C833,customers!$A$1:$A$1001,customers!$C$1:$C$1001,_xleta.N/A,0))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f t="shared" si="36"/>
        <v>5.97</v>
      </c>
      <c r="N833" t="str">
        <f t="shared" si="37"/>
        <v>Arabica</v>
      </c>
      <c r="O833" t="str">
        <f t="shared" si="38"/>
        <v>Dark</v>
      </c>
      <c r="P833" t="str">
        <f>_xlfn.XLOOKUP(Table1[[#This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cm="1">
        <f t="array" ref="G834">IF(_xlfn.XLOOKUP(C834,customers!$A$1:$A$1001,customers!$C$1:$C$1001,_xleta.N/A,0)=0,"",_xlfn.XLOOKUP(C834,customers!$A$1:$A$1001,customers!$C$1:$C$1001,_xleta.N/A,0))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f t="shared" si="36"/>
        <v>59.699999999999996</v>
      </c>
      <c r="N834" t="str">
        <f t="shared" si="37"/>
        <v>Robusta</v>
      </c>
      <c r="O834" t="str">
        <f t="shared" si="38"/>
        <v>Medium</v>
      </c>
      <c r="P834" t="str">
        <f>_xlfn.XLOOKUP(Table1[[#This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cm="1">
        <f t="array" ref="G835">IF(_xlfn.XLOOKUP(C835,customers!$A$1:$A$1001,customers!$C$1:$C$1001,_xleta.N/A,0)=0,"",_xlfn.XLOOKUP(C835,customers!$A$1:$A$1001,customers!$C$1:$C$1001,_xleta.N/A,0))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_xlfn.XLOOKUP(Table1[[#This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cm="1">
        <f t="array" ref="G836">IF(_xlfn.XLOOKUP(C836,customers!$A$1:$A$1001,customers!$C$1:$C$1001,_xleta.N/A,0)=0,"",_xlfn.XLOOKUP(C836,customers!$A$1:$A$1001,customers!$C$1:$C$1001,_xleta.N/A,0))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f t="shared" si="39"/>
        <v>22.884999999999998</v>
      </c>
      <c r="N836" t="str">
        <f t="shared" si="40"/>
        <v>Arabica</v>
      </c>
      <c r="O836" t="str">
        <f t="shared" si="41"/>
        <v>Dark</v>
      </c>
      <c r="P836" t="str">
        <f>_xlfn.XLOOKUP(Table1[[#This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cm="1">
        <f t="array" ref="G837">IF(_xlfn.XLOOKUP(C837,customers!$A$1:$A$1001,customers!$C$1:$C$1001,_xleta.N/A,0)=0,"",_xlfn.XLOOKUP(C837,customers!$A$1:$A$1001,customers!$C$1:$C$1001,_xleta.N/A,0))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f t="shared" si="39"/>
        <v>8.91</v>
      </c>
      <c r="N837" t="str">
        <f t="shared" si="40"/>
        <v>Excelsa</v>
      </c>
      <c r="O837" t="str">
        <f t="shared" si="41"/>
        <v>Large</v>
      </c>
      <c r="P837" t="str">
        <f>_xlfn.XLOOKUP(Table1[[#This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cm="1">
        <f t="array" ref="G838">IF(_xlfn.XLOOKUP(C838,customers!$A$1:$A$1001,customers!$C$1:$C$1001,_xleta.N/A,0)=0,"",_xlfn.XLOOKUP(C838,customers!$A$1:$A$1001,customers!$C$1:$C$1001,_xleta.N/A,0))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f t="shared" si="39"/>
        <v>11.94</v>
      </c>
      <c r="N838" t="str">
        <f t="shared" si="40"/>
        <v>Arabica</v>
      </c>
      <c r="O838" t="str">
        <f t="shared" si="41"/>
        <v>Dark</v>
      </c>
      <c r="P838" t="str">
        <f>_xlfn.XLOOKUP(Table1[[#This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cm="1">
        <f t="array" ref="G839">IF(_xlfn.XLOOKUP(C839,customers!$A$1:$A$1001,customers!$C$1:$C$1001,_xleta.N/A,0)=0,"",_xlfn.XLOOKUP(C839,customers!$A$1:$A$1001,customers!$C$1:$C$1001,_xleta.N/A,0))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f t="shared" si="39"/>
        <v>100.39499999999998</v>
      </c>
      <c r="N839" t="str">
        <f t="shared" si="40"/>
        <v>Liberica</v>
      </c>
      <c r="O839" t="str">
        <f t="shared" si="41"/>
        <v>Medium</v>
      </c>
      <c r="P839" t="str">
        <f>_xlfn.XLOOKUP(Table1[[#This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cm="1">
        <f t="array" ref="G840">IF(_xlfn.XLOOKUP(C840,customers!$A$1:$A$1001,customers!$C$1:$C$1001,_xleta.N/A,0)=0,"",_xlfn.XLOOKUP(C840,customers!$A$1:$A$1001,customers!$C$1:$C$1001,_xleta.N/A,0))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f t="shared" si="39"/>
        <v>114.42499999999998</v>
      </c>
      <c r="N840" t="str">
        <f t="shared" si="40"/>
        <v>Arabica</v>
      </c>
      <c r="O840" t="str">
        <f t="shared" si="41"/>
        <v>Dark</v>
      </c>
      <c r="P840" t="str">
        <f>_xlfn.XLOOKUP(Table1[[#This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cm="1">
        <f t="array" ref="G841">IF(_xlfn.XLOOKUP(C841,customers!$A$1:$A$1001,customers!$C$1:$C$1001,_xleta.N/A,0)=0,"",_xlfn.XLOOKUP(C841,customers!$A$1:$A$1001,customers!$C$1:$C$1001,_xleta.N/A,0))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f t="shared" si="39"/>
        <v>41.25</v>
      </c>
      <c r="N841" t="str">
        <f t="shared" si="40"/>
        <v>Excelsa</v>
      </c>
      <c r="O841" t="str">
        <f t="shared" si="41"/>
        <v>Medium</v>
      </c>
      <c r="P841" t="str">
        <f>_xlfn.XLOOKUP(Table1[[#This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cm="1">
        <f t="array" ref="G842">IF(_xlfn.XLOOKUP(C842,customers!$A$1:$A$1001,customers!$C$1:$C$1001,_xleta.N/A,0)=0,"",_xlfn.XLOOKUP(C842,customers!$A$1:$A$1001,customers!$C$1:$C$1001,_xleta.N/A,0))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f t="shared" si="39"/>
        <v>28.679999999999996</v>
      </c>
      <c r="N842" t="str">
        <f t="shared" si="40"/>
        <v>Robusta</v>
      </c>
      <c r="O842" t="str">
        <f t="shared" si="41"/>
        <v>Large</v>
      </c>
      <c r="P842" t="str">
        <f>_xlfn.XLOOKUP(Table1[[#This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cm="1">
        <f t="array" ref="G843">IF(_xlfn.XLOOKUP(C843,customers!$A$1:$A$1001,customers!$C$1:$C$1001,_xleta.N/A,0)=0,"",_xlfn.XLOOKUP(C843,customers!$A$1:$A$1001,customers!$C$1:$C$1001,_xleta.N/A,0))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f t="shared" si="39"/>
        <v>4.3650000000000002</v>
      </c>
      <c r="N843" t="str">
        <f t="shared" si="40"/>
        <v>Liberica</v>
      </c>
      <c r="O843" t="str">
        <f t="shared" si="41"/>
        <v>Medium</v>
      </c>
      <c r="P843" t="str">
        <f>_xlfn.XLOOKUP(Table1[[#This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cm="1">
        <f t="array" ref="G844">IF(_xlfn.XLOOKUP(C844,customers!$A$1:$A$1001,customers!$C$1:$C$1001,_xleta.N/A,0)=0,"",_xlfn.XLOOKUP(C844,customers!$A$1:$A$1001,customers!$C$1:$C$1001,_xleta.N/A,0))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f t="shared" si="39"/>
        <v>8.25</v>
      </c>
      <c r="N844" t="str">
        <f t="shared" si="40"/>
        <v>Excelsa</v>
      </c>
      <c r="O844" t="str">
        <f t="shared" si="41"/>
        <v>Medium</v>
      </c>
      <c r="P844" t="str">
        <f>_xlfn.XLOOKUP(Table1[[#This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cm="1">
        <f t="array" ref="G845">IF(_xlfn.XLOOKUP(C845,customers!$A$1:$A$1001,customers!$C$1:$C$1001,_xleta.N/A,0)=0,"",_xlfn.XLOOKUP(C845,customers!$A$1:$A$1001,customers!$C$1:$C$1001,_xleta.N/A,0))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f t="shared" si="39"/>
        <v>8.25</v>
      </c>
      <c r="N845" t="str">
        <f t="shared" si="40"/>
        <v>Excelsa</v>
      </c>
      <c r="O845" t="str">
        <f t="shared" si="41"/>
        <v>Medium</v>
      </c>
      <c r="P845" t="str">
        <f>_xlfn.XLOOKUP(Table1[[#This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cm="1">
        <f t="array" ref="G846">IF(_xlfn.XLOOKUP(C846,customers!$A$1:$A$1001,customers!$C$1:$C$1001,_xleta.N/A,0)=0,"",_xlfn.XLOOKUP(C846,customers!$A$1:$A$1001,customers!$C$1:$C$1001,_xleta.N/A,0))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f t="shared" si="39"/>
        <v>35.82</v>
      </c>
      <c r="N846" t="str">
        <f t="shared" si="40"/>
        <v>Arabica</v>
      </c>
      <c r="O846" t="str">
        <f t="shared" si="41"/>
        <v>Dark</v>
      </c>
      <c r="P846" t="str">
        <f>_xlfn.XLOOKUP(Table1[[#This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cm="1">
        <f t="array" ref="G847">IF(_xlfn.XLOOKUP(C847,customers!$A$1:$A$1001,customers!$C$1:$C$1001,_xleta.N/A,0)=0,"",_xlfn.XLOOKUP(C847,customers!$A$1:$A$1001,customers!$C$1:$C$1001,_xleta.N/A,0))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f t="shared" si="39"/>
        <v>167.67000000000002</v>
      </c>
      <c r="N847" t="str">
        <f t="shared" si="40"/>
        <v>Excelsa</v>
      </c>
      <c r="O847" t="str">
        <f t="shared" si="41"/>
        <v>Dark</v>
      </c>
      <c r="P847" t="str">
        <f>_xlfn.XLOOKUP(Table1[[#This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cm="1">
        <f t="array" ref="G848">IF(_xlfn.XLOOKUP(C848,customers!$A$1:$A$1001,customers!$C$1:$C$1001,_xleta.N/A,0)=0,"",_xlfn.XLOOKUP(C848,customers!$A$1:$A$1001,customers!$C$1:$C$1001,_xleta.N/A,0))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f t="shared" si="39"/>
        <v>51.749999999999993</v>
      </c>
      <c r="N848" t="str">
        <f t="shared" si="40"/>
        <v>Arabica</v>
      </c>
      <c r="O848" t="str">
        <f t="shared" si="41"/>
        <v>Medium</v>
      </c>
      <c r="P848" t="str">
        <f>_xlfn.XLOOKUP(Table1[[#This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cm="1">
        <f t="array" ref="G849">IF(_xlfn.XLOOKUP(C849,customers!$A$1:$A$1001,customers!$C$1:$C$1001,_xleta.N/A,0)=0,"",_xlfn.XLOOKUP(C849,customers!$A$1:$A$1001,customers!$C$1:$C$1001,_xleta.N/A,0))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f t="shared" si="39"/>
        <v>8.9550000000000001</v>
      </c>
      <c r="N849" t="str">
        <f t="shared" si="40"/>
        <v>Arabica</v>
      </c>
      <c r="O849" t="str">
        <f t="shared" si="41"/>
        <v>Dark</v>
      </c>
      <c r="P849" t="str">
        <f>_xlfn.XLOOKUP(Table1[[#This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cm="1">
        <f t="array" ref="G850">IF(_xlfn.XLOOKUP(C850,customers!$A$1:$A$1001,customers!$C$1:$C$1001,_xleta.N/A,0)=0,"",_xlfn.XLOOKUP(C850,customers!$A$1:$A$1001,customers!$C$1:$C$1001,_xleta.N/A,0))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f t="shared" si="39"/>
        <v>53.46</v>
      </c>
      <c r="N850" t="str">
        <f t="shared" si="40"/>
        <v>Excelsa</v>
      </c>
      <c r="O850" t="str">
        <f t="shared" si="41"/>
        <v>Large</v>
      </c>
      <c r="P850" t="str">
        <f>_xlfn.XLOOKUP(Table1[[#This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cm="1">
        <f t="array" ref="G851">IF(_xlfn.XLOOKUP(C851,customers!$A$1:$A$1001,customers!$C$1:$C$1001,_xleta.N/A,0)=0,"",_xlfn.XLOOKUP(C851,customers!$A$1:$A$1001,customers!$C$1:$C$1001,_xleta.N/A,0))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f t="shared" si="39"/>
        <v>23.31</v>
      </c>
      <c r="N851" t="str">
        <f t="shared" si="40"/>
        <v>Arabica</v>
      </c>
      <c r="O851" t="str">
        <f t="shared" si="41"/>
        <v>Large</v>
      </c>
      <c r="P851" t="str">
        <f>_xlfn.XLOOKUP(Table1[[#This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cm="1">
        <f t="array" ref="G852">IF(_xlfn.XLOOKUP(C852,customers!$A$1:$A$1001,customers!$C$1:$C$1001,_xleta.N/A,0)=0,"",_xlfn.XLOOKUP(C852,customers!$A$1:$A$1001,customers!$C$1:$C$1001,_xleta.N/A,0))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f t="shared" si="39"/>
        <v>6.75</v>
      </c>
      <c r="N852" t="str">
        <f t="shared" si="40"/>
        <v>Arabica</v>
      </c>
      <c r="O852" t="str">
        <f t="shared" si="41"/>
        <v>Medium</v>
      </c>
      <c r="P852" t="str">
        <f>_xlfn.XLOOKUP(Table1[[#This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cm="1">
        <f t="array" ref="G853">IF(_xlfn.XLOOKUP(C853,customers!$A$1:$A$1001,customers!$C$1:$C$1001,_xleta.N/A,0)=0,"",_xlfn.XLOOKUP(C853,customers!$A$1:$A$1001,customers!$C$1:$C$1001,_xleta.N/A,0))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f t="shared" si="39"/>
        <v>7.77</v>
      </c>
      <c r="N853" t="str">
        <f t="shared" si="40"/>
        <v>Liberica</v>
      </c>
      <c r="O853" t="str">
        <f t="shared" si="41"/>
        <v>Dark</v>
      </c>
      <c r="P853" t="str">
        <f>_xlfn.XLOOKUP(Table1[[#This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cm="1">
        <f t="array" ref="G854">IF(_xlfn.XLOOKUP(C854,customers!$A$1:$A$1001,customers!$C$1:$C$1001,_xleta.N/A,0)=0,"",_xlfn.XLOOKUP(C854,customers!$A$1:$A$1001,customers!$C$1:$C$1001,_xleta.N/A,0))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f t="shared" si="39"/>
        <v>119.13999999999999</v>
      </c>
      <c r="N854" t="str">
        <f t="shared" si="40"/>
        <v>Liberica</v>
      </c>
      <c r="O854" t="str">
        <f t="shared" si="41"/>
        <v>Dark</v>
      </c>
      <c r="P854" t="str">
        <f>_xlfn.XLOOKUP(Table1[[#This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cm="1">
        <f t="array" ref="G855">IF(_xlfn.XLOOKUP(C855,customers!$A$1:$A$1001,customers!$C$1:$C$1001,_xleta.N/A,0)=0,"",_xlfn.XLOOKUP(C855,customers!$A$1:$A$1001,customers!$C$1:$C$1001,_xleta.N/A,0))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f t="shared" si="39"/>
        <v>19.899999999999999</v>
      </c>
      <c r="N855" t="str">
        <f t="shared" si="40"/>
        <v>Arabica</v>
      </c>
      <c r="O855" t="str">
        <f t="shared" si="41"/>
        <v>Dark</v>
      </c>
      <c r="P855" t="str">
        <f>_xlfn.XLOOKUP(Table1[[#This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cm="1">
        <f t="array" ref="G856">IF(_xlfn.XLOOKUP(C856,customers!$A$1:$A$1001,customers!$C$1:$C$1001,_xleta.N/A,0)=0,"",_xlfn.XLOOKUP(C856,customers!$A$1:$A$1001,customers!$C$1:$C$1001,_xleta.N/A,0))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f t="shared" si="39"/>
        <v>35.849999999999994</v>
      </c>
      <c r="N856" t="str">
        <f t="shared" si="40"/>
        <v>Robusta</v>
      </c>
      <c r="O856" t="str">
        <f t="shared" si="41"/>
        <v>Large</v>
      </c>
      <c r="P856" t="str">
        <f>_xlfn.XLOOKUP(Table1[[#This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cm="1">
        <f t="array" ref="G857">IF(_xlfn.XLOOKUP(C857,customers!$A$1:$A$1001,customers!$C$1:$C$1001,_xleta.N/A,0)=0,"",_xlfn.XLOOKUP(C857,customers!$A$1:$A$1001,customers!$C$1:$C$1001,_xleta.N/A,0))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f t="shared" si="39"/>
        <v>89.35499999999999</v>
      </c>
      <c r="N857" t="str">
        <f t="shared" si="40"/>
        <v>Liberica</v>
      </c>
      <c r="O857" t="str">
        <f t="shared" si="41"/>
        <v>Dark</v>
      </c>
      <c r="P857" t="str">
        <f>_xlfn.XLOOKUP(Table1[[#This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cm="1">
        <f t="array" ref="G858">IF(_xlfn.XLOOKUP(C858,customers!$A$1:$A$1001,customers!$C$1:$C$1001,_xleta.N/A,0)=0,"",_xlfn.XLOOKUP(C858,customers!$A$1:$A$1001,customers!$C$1:$C$1001,_xleta.N/A,0))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f t="shared" si="39"/>
        <v>8.73</v>
      </c>
      <c r="N858" t="str">
        <f t="shared" si="40"/>
        <v>Liberica</v>
      </c>
      <c r="O858" t="str">
        <f t="shared" si="41"/>
        <v>Medium</v>
      </c>
      <c r="P858" t="str">
        <f>_xlfn.XLOOKUP(Table1[[#This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cm="1">
        <f t="array" ref="G859">IF(_xlfn.XLOOKUP(C859,customers!$A$1:$A$1001,customers!$C$1:$C$1001,_xleta.N/A,0)=0,"",_xlfn.XLOOKUP(C859,customers!$A$1:$A$1001,customers!$C$1:$C$1001,_xleta.N/A,0))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f t="shared" si="39"/>
        <v>137.42499999999998</v>
      </c>
      <c r="N859" t="str">
        <f t="shared" si="40"/>
        <v>Robusta</v>
      </c>
      <c r="O859" t="str">
        <f t="shared" si="41"/>
        <v>Large</v>
      </c>
      <c r="P859" t="str">
        <f>_xlfn.XLOOKUP(Table1[[#This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cm="1">
        <f t="array" ref="G860">IF(_xlfn.XLOOKUP(C860,customers!$A$1:$A$1001,customers!$C$1:$C$1001,_xleta.N/A,0)=0,"",_xlfn.XLOOKUP(C860,customers!$A$1:$A$1001,customers!$C$1:$C$1001,_xleta.N/A,0))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f t="shared" si="39"/>
        <v>34.92</v>
      </c>
      <c r="N860" t="str">
        <f t="shared" si="40"/>
        <v>Liberica</v>
      </c>
      <c r="O860" t="str">
        <f t="shared" si="41"/>
        <v>Medium</v>
      </c>
      <c r="P860" t="str">
        <f>_xlfn.XLOOKUP(Table1[[#This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cm="1">
        <f t="array" ref="G861">IF(_xlfn.XLOOKUP(C861,customers!$A$1:$A$1001,customers!$C$1:$C$1001,_xleta.N/A,0)=0,"",_xlfn.XLOOKUP(C861,customers!$A$1:$A$1001,customers!$C$1:$C$1001,_xleta.N/A,0))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f t="shared" si="39"/>
        <v>178.70999999999998</v>
      </c>
      <c r="N861" t="str">
        <f t="shared" si="40"/>
        <v>Arabica</v>
      </c>
      <c r="O861" t="str">
        <f t="shared" si="41"/>
        <v>Large</v>
      </c>
      <c r="P861" t="str">
        <f>_xlfn.XLOOKUP(Table1[[#This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cm="1">
        <f t="array" ref="G862">IF(_xlfn.XLOOKUP(C862,customers!$A$1:$A$1001,customers!$C$1:$C$1001,_xleta.N/A,0)=0,"",_xlfn.XLOOKUP(C862,customers!$A$1:$A$1001,customers!$C$1:$C$1001,_xleta.N/A,0))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f t="shared" si="39"/>
        <v>25.874999999999996</v>
      </c>
      <c r="N862" t="str">
        <f t="shared" si="40"/>
        <v>Arabica</v>
      </c>
      <c r="O862" t="str">
        <f t="shared" si="41"/>
        <v>Medium</v>
      </c>
      <c r="P862" t="str">
        <f>_xlfn.XLOOKUP(Table1[[#This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cm="1">
        <f t="array" ref="G863">IF(_xlfn.XLOOKUP(C863,customers!$A$1:$A$1001,customers!$C$1:$C$1001,_xleta.N/A,0)=0,"",_xlfn.XLOOKUP(C863,customers!$A$1:$A$1001,customers!$C$1:$C$1001,_xleta.N/A,0))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f t="shared" si="39"/>
        <v>77.699999999999989</v>
      </c>
      <c r="N863" t="str">
        <f t="shared" si="40"/>
        <v>Liberica</v>
      </c>
      <c r="O863" t="str">
        <f t="shared" si="41"/>
        <v>Dark</v>
      </c>
      <c r="P863" t="str">
        <f>_xlfn.XLOOKUP(Table1[[#This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cm="1">
        <f t="array" ref="G864">IF(_xlfn.XLOOKUP(C864,customers!$A$1:$A$1001,customers!$C$1:$C$1001,_xleta.N/A,0)=0,"",_xlfn.XLOOKUP(C864,customers!$A$1:$A$1001,customers!$C$1:$C$1001,_xleta.N/A,0))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f t="shared" si="39"/>
        <v>9.9499999999999993</v>
      </c>
      <c r="N864" t="str">
        <f t="shared" si="40"/>
        <v>Robusta</v>
      </c>
      <c r="O864" t="str">
        <f t="shared" si="41"/>
        <v>Medium</v>
      </c>
      <c r="P864" t="str">
        <f>_xlfn.XLOOKUP(Table1[[#This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cm="1">
        <f t="array" ref="G865">IF(_xlfn.XLOOKUP(C865,customers!$A$1:$A$1001,customers!$C$1:$C$1001,_xleta.N/A,0)=0,"",_xlfn.XLOOKUP(C865,customers!$A$1:$A$1001,customers!$C$1:$C$1001,_xleta.N/A,0))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f t="shared" si="39"/>
        <v>29.1</v>
      </c>
      <c r="N865" t="str">
        <f t="shared" si="40"/>
        <v>Liberica</v>
      </c>
      <c r="O865" t="str">
        <f t="shared" si="41"/>
        <v>Medium</v>
      </c>
      <c r="P865" t="str">
        <f>_xlfn.XLOOKUP(Table1[[#This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cm="1">
        <f t="array" ref="G866">IF(_xlfn.XLOOKUP(C866,customers!$A$1:$A$1001,customers!$C$1:$C$1001,_xleta.N/A,0)=0,"",_xlfn.XLOOKUP(C866,customers!$A$1:$A$1001,customers!$C$1:$C$1001,_xleta.N/A,0))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f t="shared" si="39"/>
        <v>21.509999999999998</v>
      </c>
      <c r="N866" t="str">
        <f t="shared" si="40"/>
        <v>Robusta</v>
      </c>
      <c r="O866" t="str">
        <f t="shared" si="41"/>
        <v>Large</v>
      </c>
      <c r="P866" t="str">
        <f>_xlfn.XLOOKUP(Table1[[#This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cm="1">
        <f t="array" ref="G867">IF(_xlfn.XLOOKUP(C867,customers!$A$1:$A$1001,customers!$C$1:$C$1001,_xleta.N/A,0)=0,"",_xlfn.XLOOKUP(C867,customers!$A$1:$A$1001,customers!$C$1:$C$1001,_xleta.N/A,0))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f t="shared" si="39"/>
        <v>6.75</v>
      </c>
      <c r="N867" t="str">
        <f t="shared" si="40"/>
        <v>Arabica</v>
      </c>
      <c r="O867" t="str">
        <f t="shared" si="41"/>
        <v>Medium</v>
      </c>
      <c r="P867" t="str">
        <f>_xlfn.XLOOKUP(Table1[[#This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cm="1">
        <f t="array" ref="G868">IF(_xlfn.XLOOKUP(C868,customers!$A$1:$A$1001,customers!$C$1:$C$1001,_xleta.N/A,0)=0,"",_xlfn.XLOOKUP(C868,customers!$A$1:$A$1001,customers!$C$1:$C$1001,_xleta.N/A,0))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f t="shared" si="39"/>
        <v>17.91</v>
      </c>
      <c r="N868" t="str">
        <f t="shared" si="40"/>
        <v>Arabica</v>
      </c>
      <c r="O868" t="str">
        <f t="shared" si="41"/>
        <v>Dark</v>
      </c>
      <c r="P868" t="str">
        <f>_xlfn.XLOOKUP(Table1[[#This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cm="1">
        <f t="array" ref="G869">IF(_xlfn.XLOOKUP(C869,customers!$A$1:$A$1001,customers!$C$1:$C$1001,_xleta.N/A,0)=0,"",_xlfn.XLOOKUP(C869,customers!$A$1:$A$1001,customers!$C$1:$C$1001,_xleta.N/A,0))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f t="shared" si="39"/>
        <v>29.784999999999997</v>
      </c>
      <c r="N869" t="str">
        <f t="shared" si="40"/>
        <v>Arabica</v>
      </c>
      <c r="O869" t="str">
        <f t="shared" si="41"/>
        <v>Large</v>
      </c>
      <c r="P869" t="str">
        <f>_xlfn.XLOOKUP(Table1[[#This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cm="1">
        <f t="array" ref="G870">IF(_xlfn.XLOOKUP(C870,customers!$A$1:$A$1001,customers!$C$1:$C$1001,_xleta.N/A,0)=0,"",_xlfn.XLOOKUP(C870,customers!$A$1:$A$1001,customers!$C$1:$C$1001,_xleta.N/A,0))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f t="shared" si="39"/>
        <v>41.25</v>
      </c>
      <c r="N870" t="str">
        <f t="shared" si="40"/>
        <v>Excelsa</v>
      </c>
      <c r="O870" t="str">
        <f t="shared" si="41"/>
        <v>Medium</v>
      </c>
      <c r="P870" t="str">
        <f>_xlfn.XLOOKUP(Table1[[#This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cm="1">
        <f t="array" ref="G871">IF(_xlfn.XLOOKUP(C871,customers!$A$1:$A$1001,customers!$C$1:$C$1001,_xleta.N/A,0)=0,"",_xlfn.XLOOKUP(C871,customers!$A$1:$A$1001,customers!$C$1:$C$1001,_xleta.N/A,0))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f t="shared" si="39"/>
        <v>17.91</v>
      </c>
      <c r="N871" t="str">
        <f t="shared" si="40"/>
        <v>Robusta</v>
      </c>
      <c r="O871" t="str">
        <f t="shared" si="41"/>
        <v>Medium</v>
      </c>
      <c r="P871" t="str">
        <f>_xlfn.XLOOKUP(Table1[[#This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cm="1">
        <f t="array" ref="G872">IF(_xlfn.XLOOKUP(C872,customers!$A$1:$A$1001,customers!$C$1:$C$1001,_xleta.N/A,0)=0,"",_xlfn.XLOOKUP(C872,customers!$A$1:$A$1001,customers!$C$1:$C$1001,_xleta.N/A,0))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f t="shared" si="39"/>
        <v>7.29</v>
      </c>
      <c r="N872" t="str">
        <f t="shared" si="40"/>
        <v>Excelsa</v>
      </c>
      <c r="O872" t="str">
        <f t="shared" si="41"/>
        <v>Dark</v>
      </c>
      <c r="P872" t="str">
        <f>_xlfn.XLOOKUP(Table1[[#This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cm="1">
        <f t="array" ref="G873">IF(_xlfn.XLOOKUP(C873,customers!$A$1:$A$1001,customers!$C$1:$C$1001,_xleta.N/A,0)=0,"",_xlfn.XLOOKUP(C873,customers!$A$1:$A$1001,customers!$C$1:$C$1001,_xleta.N/A,0))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f t="shared" si="39"/>
        <v>29.7</v>
      </c>
      <c r="N873" t="str">
        <f t="shared" si="40"/>
        <v>Excelsa</v>
      </c>
      <c r="O873" t="str">
        <f t="shared" si="41"/>
        <v>Large</v>
      </c>
      <c r="P873" t="str">
        <f>_xlfn.XLOOKUP(Table1[[#This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cm="1">
        <f t="array" ref="G874">IF(_xlfn.XLOOKUP(C874,customers!$A$1:$A$1001,customers!$C$1:$C$1001,_xleta.N/A,0)=0,"",_xlfn.XLOOKUP(C874,customers!$A$1:$A$1001,customers!$C$1:$C$1001,_xleta.N/A,0))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f t="shared" si="39"/>
        <v>22.5</v>
      </c>
      <c r="N874" t="str">
        <f t="shared" si="40"/>
        <v>Arabica</v>
      </c>
      <c r="O874" t="str">
        <f t="shared" si="41"/>
        <v>Medium</v>
      </c>
      <c r="P874" t="str">
        <f>_xlfn.XLOOKUP(Table1[[#This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cm="1">
        <f t="array" ref="G875">IF(_xlfn.XLOOKUP(C875,customers!$A$1:$A$1001,customers!$C$1:$C$1001,_xleta.N/A,0)=0,"",_xlfn.XLOOKUP(C875,customers!$A$1:$A$1001,customers!$C$1:$C$1001,_xleta.N/A,0))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f t="shared" si="39"/>
        <v>11.94</v>
      </c>
      <c r="N875" t="str">
        <f t="shared" si="40"/>
        <v>Robusta</v>
      </c>
      <c r="O875" t="str">
        <f t="shared" si="41"/>
        <v>Medium</v>
      </c>
      <c r="P875" t="str">
        <f>_xlfn.XLOOKUP(Table1[[#This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cm="1">
        <f t="array" ref="G876">IF(_xlfn.XLOOKUP(C876,customers!$A$1:$A$1001,customers!$C$1:$C$1001,_xleta.N/A,0)=0,"",_xlfn.XLOOKUP(C876,customers!$A$1:$A$1001,customers!$C$1:$C$1001,_xleta.N/A,0))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f t="shared" si="39"/>
        <v>25.9</v>
      </c>
      <c r="N876" t="str">
        <f t="shared" si="40"/>
        <v>Arabica</v>
      </c>
      <c r="O876" t="str">
        <f t="shared" si="41"/>
        <v>Large</v>
      </c>
      <c r="P876" t="str">
        <f>_xlfn.XLOOKUP(Table1[[#This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cm="1">
        <f t="array" ref="G877">IF(_xlfn.XLOOKUP(C877,customers!$A$1:$A$1001,customers!$C$1:$C$1001,_xleta.N/A,0)=0,"",_xlfn.XLOOKUP(C877,customers!$A$1:$A$1001,customers!$C$1:$C$1001,_xleta.N/A,0))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f t="shared" si="39"/>
        <v>43.650000000000006</v>
      </c>
      <c r="N877" t="str">
        <f t="shared" si="40"/>
        <v>Liberica</v>
      </c>
      <c r="O877" t="str">
        <f t="shared" si="41"/>
        <v>Medium</v>
      </c>
      <c r="P877" t="str">
        <f>_xlfn.XLOOKUP(Table1[[#This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cm="1">
        <f t="array" ref="G878">IF(_xlfn.XLOOKUP(C878,customers!$A$1:$A$1001,customers!$C$1:$C$1001,_xleta.N/A,0)=0,"",_xlfn.XLOOKUP(C878,customers!$A$1:$A$1001,customers!$C$1:$C$1001,_xleta.N/A,0))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f t="shared" si="39"/>
        <v>46.62</v>
      </c>
      <c r="N878" t="str">
        <f t="shared" si="40"/>
        <v>Arabica</v>
      </c>
      <c r="O878" t="str">
        <f t="shared" si="41"/>
        <v>Large</v>
      </c>
      <c r="P878" t="str">
        <f>_xlfn.XLOOKUP(Table1[[#This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cm="1">
        <f t="array" ref="G879">IF(_xlfn.XLOOKUP(C879,customers!$A$1:$A$1001,customers!$C$1:$C$1001,_xleta.N/A,0)=0,"",_xlfn.XLOOKUP(C879,customers!$A$1:$A$1001,customers!$C$1:$C$1001,_xleta.N/A,0))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f t="shared" si="39"/>
        <v>28.53</v>
      </c>
      <c r="N879" t="str">
        <f t="shared" si="40"/>
        <v>Liberica</v>
      </c>
      <c r="O879" t="str">
        <f t="shared" si="41"/>
        <v>Large</v>
      </c>
      <c r="P879" t="str">
        <f>_xlfn.XLOOKUP(Table1[[#This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cm="1">
        <f t="array" ref="G880">IF(_xlfn.XLOOKUP(C880,customers!$A$1:$A$1001,customers!$C$1:$C$1001,_xleta.N/A,0)=0,"",_xlfn.XLOOKUP(C880,customers!$A$1:$A$1001,customers!$C$1:$C$1001,_xleta.N/A,0))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f t="shared" si="39"/>
        <v>27.484999999999996</v>
      </c>
      <c r="N880" t="str">
        <f t="shared" si="40"/>
        <v>Robusta</v>
      </c>
      <c r="O880" t="str">
        <f t="shared" si="41"/>
        <v>Large</v>
      </c>
      <c r="P880" t="str">
        <f>_xlfn.XLOOKUP(Table1[[#This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cm="1">
        <f t="array" ref="G881">IF(_xlfn.XLOOKUP(C881,customers!$A$1:$A$1001,customers!$C$1:$C$1001,_xleta.N/A,0)=0,"",_xlfn.XLOOKUP(C881,customers!$A$1:$A$1001,customers!$C$1:$C$1001,_xleta.N/A,0))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f t="shared" si="39"/>
        <v>10.935</v>
      </c>
      <c r="N881" t="str">
        <f t="shared" si="40"/>
        <v>Excelsa</v>
      </c>
      <c r="O881" t="str">
        <f t="shared" si="41"/>
        <v>Dark</v>
      </c>
      <c r="P881" t="str">
        <f>_xlfn.XLOOKUP(Table1[[#This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cm="1">
        <f t="array" ref="G882">IF(_xlfn.XLOOKUP(C882,customers!$A$1:$A$1001,customers!$C$1:$C$1001,_xleta.N/A,0)=0,"",_xlfn.XLOOKUP(C882,customers!$A$1:$A$1001,customers!$C$1:$C$1001,_xleta.N/A,0))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f t="shared" si="39"/>
        <v>7.169999999999999</v>
      </c>
      <c r="N882" t="str">
        <f t="shared" si="40"/>
        <v>Robusta</v>
      </c>
      <c r="O882" t="str">
        <f t="shared" si="41"/>
        <v>Large</v>
      </c>
      <c r="P882" t="str">
        <f>_xlfn.XLOOKUP(Table1[[#This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cm="1">
        <f t="array" ref="G883">IF(_xlfn.XLOOKUP(C883,customers!$A$1:$A$1001,customers!$C$1:$C$1001,_xleta.N/A,0)=0,"",_xlfn.XLOOKUP(C883,customers!$A$1:$A$1001,customers!$C$1:$C$1001,_xleta.N/A,0))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f t="shared" si="39"/>
        <v>23.31</v>
      </c>
      <c r="N883" t="str">
        <f t="shared" si="40"/>
        <v>Arabica</v>
      </c>
      <c r="O883" t="str">
        <f t="shared" si="41"/>
        <v>Large</v>
      </c>
      <c r="P883" t="str">
        <f>_xlfn.XLOOKUP(Table1[[#This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cm="1">
        <f t="array" ref="G884">IF(_xlfn.XLOOKUP(C884,customers!$A$1:$A$1001,customers!$C$1:$C$1001,_xleta.N/A,0)=0,"",_xlfn.XLOOKUP(C884,customers!$A$1:$A$1001,customers!$C$1:$C$1001,_xleta.N/A,0))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f t="shared" si="39"/>
        <v>114.42499999999998</v>
      </c>
      <c r="N884" t="str">
        <f t="shared" si="40"/>
        <v>Arabica</v>
      </c>
      <c r="O884" t="str">
        <f t="shared" si="41"/>
        <v>Dark</v>
      </c>
      <c r="P884" t="str">
        <f>_xlfn.XLOOKUP(Table1[[#This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cm="1">
        <f t="array" ref="G885">IF(_xlfn.XLOOKUP(C885,customers!$A$1:$A$1001,customers!$C$1:$C$1001,_xleta.N/A,0)=0,"",_xlfn.XLOOKUP(C885,customers!$A$1:$A$1001,customers!$C$1:$C$1001,_xleta.N/A,0))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f t="shared" si="39"/>
        <v>77.624999999999986</v>
      </c>
      <c r="N885" t="str">
        <f t="shared" si="40"/>
        <v>Arabica</v>
      </c>
      <c r="O885" t="str">
        <f t="shared" si="41"/>
        <v>Medium</v>
      </c>
      <c r="P885" t="str">
        <f>_xlfn.XLOOKUP(Table1[[#This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cm="1">
        <f t="array" ref="G886">IF(_xlfn.XLOOKUP(C886,customers!$A$1:$A$1001,customers!$C$1:$C$1001,_xleta.N/A,0)=0,"",_xlfn.XLOOKUP(C886,customers!$A$1:$A$1001,customers!$C$1:$C$1001,_xleta.N/A,0))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f t="shared" si="39"/>
        <v>5.3699999999999992</v>
      </c>
      <c r="N886" t="str">
        <f t="shared" si="40"/>
        <v>Robusta</v>
      </c>
      <c r="O886" t="str">
        <f t="shared" si="41"/>
        <v>Dark</v>
      </c>
      <c r="P886" t="str">
        <f>_xlfn.XLOOKUP(Table1[[#This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cm="1">
        <f t="array" ref="G887">IF(_xlfn.XLOOKUP(C887,customers!$A$1:$A$1001,customers!$C$1:$C$1001,_xleta.N/A,0)=0,"",_xlfn.XLOOKUP(C887,customers!$A$1:$A$1001,customers!$C$1:$C$1001,_xleta.N/A,0))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f t="shared" si="39"/>
        <v>123.50999999999999</v>
      </c>
      <c r="N887" t="str">
        <f t="shared" si="40"/>
        <v>Robusta</v>
      </c>
      <c r="O887" t="str">
        <f t="shared" si="41"/>
        <v>Dark</v>
      </c>
      <c r="P887" t="str">
        <f>_xlfn.XLOOKUP(Table1[[#This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cm="1">
        <f t="array" ref="G888">IF(_xlfn.XLOOKUP(C888,customers!$A$1:$A$1001,customers!$C$1:$C$1001,_xleta.N/A,0)=0,"",_xlfn.XLOOKUP(C888,customers!$A$1:$A$1001,customers!$C$1:$C$1001,_xleta.N/A,0))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f t="shared" si="39"/>
        <v>17.46</v>
      </c>
      <c r="N888" t="str">
        <f t="shared" si="40"/>
        <v>Liberica</v>
      </c>
      <c r="O888" t="str">
        <f t="shared" si="41"/>
        <v>Medium</v>
      </c>
      <c r="P888" t="str">
        <f>_xlfn.XLOOKUP(Table1[[#This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cm="1">
        <f t="array" ref="G889">IF(_xlfn.XLOOKUP(C889,customers!$A$1:$A$1001,customers!$C$1:$C$1001,_xleta.N/A,0)=0,"",_xlfn.XLOOKUP(C889,customers!$A$1:$A$1001,customers!$C$1:$C$1001,_xleta.N/A,0))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f t="shared" si="39"/>
        <v>13.365</v>
      </c>
      <c r="N889" t="str">
        <f t="shared" si="40"/>
        <v>Excelsa</v>
      </c>
      <c r="O889" t="str">
        <f t="shared" si="41"/>
        <v>Large</v>
      </c>
      <c r="P889" t="str">
        <f>_xlfn.XLOOKUP(Table1[[#This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cm="1">
        <f t="array" ref="G890">IF(_xlfn.XLOOKUP(C890,customers!$A$1:$A$1001,customers!$C$1:$C$1001,_xleta.N/A,0)=0,"",_xlfn.XLOOKUP(C890,customers!$A$1:$A$1001,customers!$C$1:$C$1001,_xleta.N/A,0))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f t="shared" si="39"/>
        <v>7.77</v>
      </c>
      <c r="N890" t="str">
        <f t="shared" si="40"/>
        <v>Arabica</v>
      </c>
      <c r="O890" t="str">
        <f t="shared" si="41"/>
        <v>Large</v>
      </c>
      <c r="P890" t="str">
        <f>_xlfn.XLOOKUP(Table1[[#This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cm="1">
        <f t="array" ref="G891">IF(_xlfn.XLOOKUP(C891,customers!$A$1:$A$1001,customers!$C$1:$C$1001,_xleta.N/A,0)=0,"",_xlfn.XLOOKUP(C891,customers!$A$1:$A$1001,customers!$C$1:$C$1001,_xleta.N/A,0))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f t="shared" si="39"/>
        <v>2.6849999999999996</v>
      </c>
      <c r="N891" t="str">
        <f t="shared" si="40"/>
        <v>Robusta</v>
      </c>
      <c r="O891" t="str">
        <f t="shared" si="41"/>
        <v>Dark</v>
      </c>
      <c r="P891" t="str">
        <f>_xlfn.XLOOKUP(Table1[[#This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cm="1">
        <f t="array" ref="G892">IF(_xlfn.XLOOKUP(C892,customers!$A$1:$A$1001,customers!$C$1:$C$1001,_xleta.N/A,0)=0,"",_xlfn.XLOOKUP(C892,customers!$A$1:$A$1001,customers!$C$1:$C$1001,_xleta.N/A,0))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f t="shared" si="39"/>
        <v>20.584999999999997</v>
      </c>
      <c r="N892" t="str">
        <f t="shared" si="40"/>
        <v>Robusta</v>
      </c>
      <c r="O892" t="str">
        <f t="shared" si="41"/>
        <v>Dark</v>
      </c>
      <c r="P892" t="str">
        <f>_xlfn.XLOOKUP(Table1[[#This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cm="1">
        <f t="array" ref="G893">IF(_xlfn.XLOOKUP(C893,customers!$A$1:$A$1001,customers!$C$1:$C$1001,_xleta.N/A,0)=0,"",_xlfn.XLOOKUP(C893,customers!$A$1:$A$1001,customers!$C$1:$C$1001,_xleta.N/A,0))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f t="shared" si="39"/>
        <v>114.42499999999998</v>
      </c>
      <c r="N893" t="str">
        <f t="shared" si="40"/>
        <v>Arabica</v>
      </c>
      <c r="O893" t="str">
        <f t="shared" si="41"/>
        <v>Dark</v>
      </c>
      <c r="P893" t="str">
        <f>_xlfn.XLOOKUP(Table1[[#This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cm="1">
        <f t="array" ref="G894">IF(_xlfn.XLOOKUP(C894,customers!$A$1:$A$1001,customers!$C$1:$C$1001,_xleta.N/A,0)=0,"",_xlfn.XLOOKUP(C894,customers!$A$1:$A$1001,customers!$C$1:$C$1001,_xleta.N/A,0))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f t="shared" si="39"/>
        <v>20.625</v>
      </c>
      <c r="N894" t="str">
        <f t="shared" si="40"/>
        <v>Excelsa</v>
      </c>
      <c r="O894" t="str">
        <f t="shared" si="41"/>
        <v>Medium</v>
      </c>
      <c r="P894" t="str">
        <f>_xlfn.XLOOKUP(Table1[[#This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cm="1">
        <f t="array" ref="G895">IF(_xlfn.XLOOKUP(C895,customers!$A$1:$A$1001,customers!$C$1:$C$1001,_xleta.N/A,0)=0,"",_xlfn.XLOOKUP(C895,customers!$A$1:$A$1001,customers!$C$1:$C$1001,_xleta.N/A,0))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f t="shared" si="39"/>
        <v>57.06</v>
      </c>
      <c r="N895" t="str">
        <f t="shared" si="40"/>
        <v>Liberica</v>
      </c>
      <c r="O895" t="str">
        <f t="shared" si="41"/>
        <v>Large</v>
      </c>
      <c r="P895" t="str">
        <f>_xlfn.XLOOKUP(Table1[[#This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cm="1">
        <f t="array" ref="G896">IF(_xlfn.XLOOKUP(C896,customers!$A$1:$A$1001,customers!$C$1:$C$1001,_xleta.N/A,0)=0,"",_xlfn.XLOOKUP(C896,customers!$A$1:$A$1001,customers!$C$1:$C$1001,_xleta.N/A,0))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f t="shared" si="39"/>
        <v>82.339999999999989</v>
      </c>
      <c r="N896" t="str">
        <f t="shared" si="40"/>
        <v>Robusta</v>
      </c>
      <c r="O896" t="str">
        <f t="shared" si="41"/>
        <v>Dark</v>
      </c>
      <c r="P896" t="str">
        <f>_xlfn.XLOOKUP(Table1[[#This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cm="1">
        <f t="array" ref="G897">IF(_xlfn.XLOOKUP(C897,customers!$A$1:$A$1001,customers!$C$1:$C$1001,_xleta.N/A,0)=0,"",_xlfn.XLOOKUP(C897,customers!$A$1:$A$1001,customers!$C$1:$C$1001,_xleta.N/A,0))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f t="shared" si="39"/>
        <v>158.12499999999997</v>
      </c>
      <c r="N897" t="str">
        <f t="shared" si="40"/>
        <v>Excelsa</v>
      </c>
      <c r="O897" t="str">
        <f t="shared" si="41"/>
        <v>Medium</v>
      </c>
      <c r="P897" t="str">
        <f>_xlfn.XLOOKUP(Table1[[#This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cm="1">
        <f t="array" ref="G898">IF(_xlfn.XLOOKUP(C898,customers!$A$1:$A$1001,customers!$C$1:$C$1001,_xleta.N/A,0)=0,"",_xlfn.XLOOKUP(C898,customers!$A$1:$A$1001,customers!$C$1:$C$1001,_xleta.N/A,0))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f t="shared" si="39"/>
        <v>32.22</v>
      </c>
      <c r="N898" t="str">
        <f t="shared" si="40"/>
        <v>Robusta</v>
      </c>
      <c r="O898" t="str">
        <f t="shared" si="41"/>
        <v>Dark</v>
      </c>
      <c r="P898" t="str">
        <f>_xlfn.XLOOKUP(Table1[[#This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cm="1">
        <f t="array" ref="G899">IF(_xlfn.XLOOKUP(C899,customers!$A$1:$A$1001,customers!$C$1:$C$1001,_xleta.N/A,0)=0,"",_xlfn.XLOOKUP(C899,customers!$A$1:$A$1001,customers!$C$1:$C$1001,_xleta.N/A,0))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f t="shared" ref="M899:M962" si="42">L899*E899</f>
        <v>24.3</v>
      </c>
      <c r="N899" t="str">
        <f t="shared" ref="N899:N962" si="43">IF(I899="ROB","Robusta",IF(I899="EXC","Excelsa",IF(I899="Ara","Arabica",IF(I899="lib","Liberica",""))))</f>
        <v>Excelsa</v>
      </c>
      <c r="O899" t="str">
        <f t="shared" ref="O899:O962" si="44">IF(J899="M","Medium",IF(J899="L","Large",IF(J899="D","Dark","")))</f>
        <v>Dark</v>
      </c>
      <c r="P899" t="str">
        <f>_xlfn.XLOOKUP(Table1[[#This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cm="1">
        <f t="array" ref="G900">IF(_xlfn.XLOOKUP(C900,customers!$A$1:$A$1001,customers!$C$1:$C$1001,_xleta.N/A,0)=0,"",_xlfn.XLOOKUP(C900,customers!$A$1:$A$1001,customers!$C$1:$C$1001,_xleta.N/A,0))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f t="shared" si="42"/>
        <v>35.849999999999994</v>
      </c>
      <c r="N900" t="str">
        <f t="shared" si="43"/>
        <v>Robusta</v>
      </c>
      <c r="O900" t="str">
        <f t="shared" si="44"/>
        <v>Large</v>
      </c>
      <c r="P900" t="str">
        <f>_xlfn.XLOOKUP(Table1[[#This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cm="1">
        <f t="array" ref="G901">IF(_xlfn.XLOOKUP(C901,customers!$A$1:$A$1001,customers!$C$1:$C$1001,_xleta.N/A,0)=0,"",_xlfn.XLOOKUP(C901,customers!$A$1:$A$1001,customers!$C$1:$C$1001,_xleta.N/A,0))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f t="shared" si="42"/>
        <v>72.75</v>
      </c>
      <c r="N901" t="str">
        <f t="shared" si="43"/>
        <v>Liberica</v>
      </c>
      <c r="O901" t="str">
        <f t="shared" si="44"/>
        <v>Medium</v>
      </c>
      <c r="P901" t="str">
        <f>_xlfn.XLOOKUP(Table1[[#This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cm="1">
        <f t="array" ref="G902">IF(_xlfn.XLOOKUP(C902,customers!$A$1:$A$1001,customers!$C$1:$C$1001,_xleta.N/A,0)=0,"",_xlfn.XLOOKUP(C902,customers!$A$1:$A$1001,customers!$C$1:$C$1001,_xleta.N/A,0))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f t="shared" si="42"/>
        <v>47.55</v>
      </c>
      <c r="N902" t="str">
        <f t="shared" si="43"/>
        <v>Liberica</v>
      </c>
      <c r="O902" t="str">
        <f t="shared" si="44"/>
        <v>Large</v>
      </c>
      <c r="P902" t="str">
        <f>_xlfn.XLOOKUP(Table1[[#This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cm="1">
        <f t="array" ref="G903">IF(_xlfn.XLOOKUP(C903,customers!$A$1:$A$1001,customers!$C$1:$C$1001,_xleta.N/A,0)=0,"",_xlfn.XLOOKUP(C903,customers!$A$1:$A$1001,customers!$C$1:$C$1001,_xleta.N/A,0))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f t="shared" si="42"/>
        <v>3.5849999999999995</v>
      </c>
      <c r="N903" t="str">
        <f t="shared" si="43"/>
        <v>Robusta</v>
      </c>
      <c r="O903" t="str">
        <f t="shared" si="44"/>
        <v>Large</v>
      </c>
      <c r="P903" t="str">
        <f>_xlfn.XLOOKUP(Table1[[#This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cm="1">
        <f t="array" ref="G904">IF(_xlfn.XLOOKUP(C904,customers!$A$1:$A$1001,customers!$C$1:$C$1001,_xleta.N/A,0)=0,"",_xlfn.XLOOKUP(C904,customers!$A$1:$A$1001,customers!$C$1:$C$1001,_xleta.N/A,0))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f t="shared" si="42"/>
        <v>158.12499999999997</v>
      </c>
      <c r="N904" t="str">
        <f t="shared" si="43"/>
        <v>Excelsa</v>
      </c>
      <c r="O904" t="str">
        <f t="shared" si="44"/>
        <v>Medium</v>
      </c>
      <c r="P904" t="str">
        <f>_xlfn.XLOOKUP(Table1[[#This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cm="1">
        <f t="array" ref="G905">IF(_xlfn.XLOOKUP(C905,customers!$A$1:$A$1001,customers!$C$1:$C$1001,_xleta.N/A,0)=0,"",_xlfn.XLOOKUP(C905,customers!$A$1:$A$1001,customers!$C$1:$C$1001,_xleta.N/A,0))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f t="shared" si="42"/>
        <v>17.46</v>
      </c>
      <c r="N905" t="str">
        <f t="shared" si="43"/>
        <v>Liberica</v>
      </c>
      <c r="O905" t="str">
        <f t="shared" si="44"/>
        <v>Medium</v>
      </c>
      <c r="P905" t="str">
        <f>_xlfn.XLOOKUP(Table1[[#This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cm="1">
        <f t="array" ref="G906">IF(_xlfn.XLOOKUP(C906,customers!$A$1:$A$1001,customers!$C$1:$C$1001,_xleta.N/A,0)=0,"",_xlfn.XLOOKUP(C906,customers!$A$1:$A$1001,customers!$C$1:$C$1001,_xleta.N/A,0))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f t="shared" si="42"/>
        <v>148.92499999999998</v>
      </c>
      <c r="N906" t="str">
        <f t="shared" si="43"/>
        <v>Arabica</v>
      </c>
      <c r="O906" t="str">
        <f t="shared" si="44"/>
        <v>Large</v>
      </c>
      <c r="P906" t="str">
        <f>_xlfn.XLOOKUP(Table1[[#This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cm="1">
        <f t="array" ref="G907">IF(_xlfn.XLOOKUP(C907,customers!$A$1:$A$1001,customers!$C$1:$C$1001,_xleta.N/A,0)=0,"",_xlfn.XLOOKUP(C907,customers!$A$1:$A$1001,customers!$C$1:$C$1001,_xleta.N/A,0))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f t="shared" si="42"/>
        <v>40.5</v>
      </c>
      <c r="N907" t="str">
        <f t="shared" si="43"/>
        <v>Arabica</v>
      </c>
      <c r="O907" t="str">
        <f t="shared" si="44"/>
        <v>Medium</v>
      </c>
      <c r="P907" t="str">
        <f>_xlfn.XLOOKUP(Table1[[#This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cm="1">
        <f t="array" ref="G908">IF(_xlfn.XLOOKUP(C908,customers!$A$1:$A$1001,customers!$C$1:$C$1001,_xleta.N/A,0)=0,"",_xlfn.XLOOKUP(C908,customers!$A$1:$A$1001,customers!$C$1:$C$1001,_xleta.N/A,0))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f t="shared" si="42"/>
        <v>27</v>
      </c>
      <c r="N908" t="str">
        <f t="shared" si="43"/>
        <v>Arabica</v>
      </c>
      <c r="O908" t="str">
        <f t="shared" si="44"/>
        <v>Medium</v>
      </c>
      <c r="P908" t="str">
        <f>_xlfn.XLOOKUP(Table1[[#This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cm="1">
        <f t="array" ref="G909">IF(_xlfn.XLOOKUP(C909,customers!$A$1:$A$1001,customers!$C$1:$C$1001,_xleta.N/A,0)=0,"",_xlfn.XLOOKUP(C909,customers!$A$1:$A$1001,customers!$C$1:$C$1001,_xleta.N/A,0))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f t="shared" si="42"/>
        <v>38.849999999999994</v>
      </c>
      <c r="N909" t="str">
        <f t="shared" si="43"/>
        <v>Liberica</v>
      </c>
      <c r="O909" t="str">
        <f t="shared" si="44"/>
        <v>Dark</v>
      </c>
      <c r="P909" t="str">
        <f>_xlfn.XLOOKUP(Table1[[#This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cm="1">
        <f t="array" ref="G910">IF(_xlfn.XLOOKUP(C910,customers!$A$1:$A$1001,customers!$C$1:$C$1001,_xleta.N/A,0)=0,"",_xlfn.XLOOKUP(C910,customers!$A$1:$A$1001,customers!$C$1:$C$1001,_xleta.N/A,0))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f t="shared" si="42"/>
        <v>59.75</v>
      </c>
      <c r="N910" t="str">
        <f t="shared" si="43"/>
        <v>Robusta</v>
      </c>
      <c r="O910" t="str">
        <f t="shared" si="44"/>
        <v>Large</v>
      </c>
      <c r="P910" t="str">
        <f>_xlfn.XLOOKUP(Table1[[#This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cm="1">
        <f t="array" ref="G911">IF(_xlfn.XLOOKUP(C911,customers!$A$1:$A$1001,customers!$C$1:$C$1001,_xleta.N/A,0)=0,"",_xlfn.XLOOKUP(C911,customers!$A$1:$A$1001,customers!$C$1:$C$1001,_xleta.N/A,0))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f t="shared" si="42"/>
        <v>10.754999999999999</v>
      </c>
      <c r="N911" t="str">
        <f t="shared" si="43"/>
        <v>Robusta</v>
      </c>
      <c r="O911" t="str">
        <f t="shared" si="44"/>
        <v>Large</v>
      </c>
      <c r="P911" t="str">
        <f>_xlfn.XLOOKUP(Table1[[#This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cm="1">
        <f t="array" ref="G912">IF(_xlfn.XLOOKUP(C912,customers!$A$1:$A$1001,customers!$C$1:$C$1001,_xleta.N/A,0)=0,"",_xlfn.XLOOKUP(C912,customers!$A$1:$A$1001,customers!$C$1:$C$1001,_xleta.N/A,0))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f t="shared" si="42"/>
        <v>91.539999999999992</v>
      </c>
      <c r="N912" t="str">
        <f t="shared" si="43"/>
        <v>Arabica</v>
      </c>
      <c r="O912" t="str">
        <f t="shared" si="44"/>
        <v>Dark</v>
      </c>
      <c r="P912" t="str">
        <f>_xlfn.XLOOKUP(Table1[[#This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cm="1">
        <f t="array" ref="G913">IF(_xlfn.XLOOKUP(C913,customers!$A$1:$A$1001,customers!$C$1:$C$1001,_xleta.N/A,0)=0,"",_xlfn.XLOOKUP(C913,customers!$A$1:$A$1001,customers!$C$1:$C$1001,_xleta.N/A,0))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f t="shared" si="42"/>
        <v>45</v>
      </c>
      <c r="N913" t="str">
        <f t="shared" si="43"/>
        <v>Arabica</v>
      </c>
      <c r="O913" t="str">
        <f t="shared" si="44"/>
        <v>Medium</v>
      </c>
      <c r="P913" t="str">
        <f>_xlfn.XLOOKUP(Table1[[#This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cm="1">
        <f t="array" ref="G914">IF(_xlfn.XLOOKUP(C914,customers!$A$1:$A$1001,customers!$C$1:$C$1001,_xleta.N/A,0)=0,"",_xlfn.XLOOKUP(C914,customers!$A$1:$A$1001,customers!$C$1:$C$1001,_xleta.N/A,0))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f t="shared" si="42"/>
        <v>137.31</v>
      </c>
      <c r="N914" t="str">
        <f t="shared" si="43"/>
        <v>Robusta</v>
      </c>
      <c r="O914" t="str">
        <f t="shared" si="44"/>
        <v>Medium</v>
      </c>
      <c r="P914" t="str">
        <f>_xlfn.XLOOKUP(Table1[[#This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cm="1">
        <f t="array" ref="G915">IF(_xlfn.XLOOKUP(C915,customers!$A$1:$A$1001,customers!$C$1:$C$1001,_xleta.N/A,0)=0,"",_xlfn.XLOOKUP(C915,customers!$A$1:$A$1001,customers!$C$1:$C$1001,_xleta.N/A,0))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f t="shared" si="42"/>
        <v>6.75</v>
      </c>
      <c r="N915" t="str">
        <f t="shared" si="43"/>
        <v>Arabica</v>
      </c>
      <c r="O915" t="str">
        <f t="shared" si="44"/>
        <v>Medium</v>
      </c>
      <c r="P915" t="str">
        <f>_xlfn.XLOOKUP(Table1[[#This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cm="1">
        <f t="array" ref="G916">IF(_xlfn.XLOOKUP(C916,customers!$A$1:$A$1001,customers!$C$1:$C$1001,_xleta.N/A,0)=0,"",_xlfn.XLOOKUP(C916,customers!$A$1:$A$1001,customers!$C$1:$C$1001,_xleta.N/A,0))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f t="shared" si="42"/>
        <v>45</v>
      </c>
      <c r="N916" t="str">
        <f t="shared" si="43"/>
        <v>Arabica</v>
      </c>
      <c r="O916" t="str">
        <f t="shared" si="44"/>
        <v>Medium</v>
      </c>
      <c r="P916" t="str">
        <f>_xlfn.XLOOKUP(Table1[[#This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cm="1">
        <f t="array" ref="G917">IF(_xlfn.XLOOKUP(C917,customers!$A$1:$A$1001,customers!$C$1:$C$1001,_xleta.N/A,0)=0,"",_xlfn.XLOOKUP(C917,customers!$A$1:$A$1001,customers!$C$1:$C$1001,_xleta.N/A,0))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f t="shared" si="42"/>
        <v>83.835000000000008</v>
      </c>
      <c r="N917" t="str">
        <f t="shared" si="43"/>
        <v>Excelsa</v>
      </c>
      <c r="O917" t="str">
        <f t="shared" si="44"/>
        <v>Dark</v>
      </c>
      <c r="P917" t="str">
        <f>_xlfn.XLOOKUP(Table1[[#This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cm="1">
        <f t="array" ref="G918">IF(_xlfn.XLOOKUP(C918,customers!$A$1:$A$1001,customers!$C$1:$C$1001,_xleta.N/A,0)=0,"",_xlfn.XLOOKUP(C918,customers!$A$1:$A$1001,customers!$C$1:$C$1001,_xleta.N/A,0))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f t="shared" si="42"/>
        <v>3.645</v>
      </c>
      <c r="N918" t="str">
        <f t="shared" si="43"/>
        <v>Excelsa</v>
      </c>
      <c r="O918" t="str">
        <f t="shared" si="44"/>
        <v>Dark</v>
      </c>
      <c r="P918" t="str">
        <f>_xlfn.XLOOKUP(Table1[[#This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cm="1">
        <f t="array" ref="G919">IF(_xlfn.XLOOKUP(C919,customers!$A$1:$A$1001,customers!$C$1:$C$1001,_xleta.N/A,0)=0,"",_xlfn.XLOOKUP(C919,customers!$A$1:$A$1001,customers!$C$1:$C$1001,_xleta.N/A,0))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f t="shared" si="42"/>
        <v>6.75</v>
      </c>
      <c r="N919" t="str">
        <f t="shared" si="43"/>
        <v>Arabica</v>
      </c>
      <c r="O919" t="str">
        <f t="shared" si="44"/>
        <v>Medium</v>
      </c>
      <c r="P919" t="str">
        <f>_xlfn.XLOOKUP(Table1[[#This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cm="1">
        <f t="array" ref="G920">IF(_xlfn.XLOOKUP(C920,customers!$A$1:$A$1001,customers!$C$1:$C$1001,_xleta.N/A,0)=0,"",_xlfn.XLOOKUP(C920,customers!$A$1:$A$1001,customers!$C$1:$C$1001,_xleta.N/A,0))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f t="shared" si="42"/>
        <v>21.87</v>
      </c>
      <c r="N920" t="str">
        <f t="shared" si="43"/>
        <v>Excelsa</v>
      </c>
      <c r="O920" t="str">
        <f t="shared" si="44"/>
        <v>Dark</v>
      </c>
      <c r="P920" t="str">
        <f>_xlfn.XLOOKUP(Table1[[#This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cm="1">
        <f t="array" ref="G921">IF(_xlfn.XLOOKUP(C921,customers!$A$1:$A$1001,customers!$C$1:$C$1001,_xleta.N/A,0)=0,"",_xlfn.XLOOKUP(C921,customers!$A$1:$A$1001,customers!$C$1:$C$1001,_xleta.N/A,0))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f t="shared" si="42"/>
        <v>13.424999999999997</v>
      </c>
      <c r="N921" t="str">
        <f t="shared" si="43"/>
        <v>Robusta</v>
      </c>
      <c r="O921" t="str">
        <f t="shared" si="44"/>
        <v>Dark</v>
      </c>
      <c r="P921" t="str">
        <f>_xlfn.XLOOKUP(Table1[[#This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cm="1">
        <f t="array" ref="G922">IF(_xlfn.XLOOKUP(C922,customers!$A$1:$A$1001,customers!$C$1:$C$1001,_xleta.N/A,0)=0,"",_xlfn.XLOOKUP(C922,customers!$A$1:$A$1001,customers!$C$1:$C$1001,_xleta.N/A,0))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f t="shared" si="42"/>
        <v>123.50999999999999</v>
      </c>
      <c r="N922" t="str">
        <f t="shared" si="43"/>
        <v>Robusta</v>
      </c>
      <c r="O922" t="str">
        <f t="shared" si="44"/>
        <v>Dark</v>
      </c>
      <c r="P922" t="str">
        <f>_xlfn.XLOOKUP(Table1[[#This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cm="1">
        <f t="array" ref="G923">IF(_xlfn.XLOOKUP(C923,customers!$A$1:$A$1001,customers!$C$1:$C$1001,_xleta.N/A,0)=0,"",_xlfn.XLOOKUP(C923,customers!$A$1:$A$1001,customers!$C$1:$C$1001,_xleta.N/A,0))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f t="shared" si="42"/>
        <v>7.77</v>
      </c>
      <c r="N923" t="str">
        <f t="shared" si="43"/>
        <v>Liberica</v>
      </c>
      <c r="O923" t="str">
        <f t="shared" si="44"/>
        <v>Dark</v>
      </c>
      <c r="P923" t="str">
        <f>_xlfn.XLOOKUP(Table1[[#This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cm="1">
        <f t="array" ref="G924">IF(_xlfn.XLOOKUP(C924,customers!$A$1:$A$1001,customers!$C$1:$C$1001,_xleta.N/A,0)=0,"",_xlfn.XLOOKUP(C924,customers!$A$1:$A$1001,customers!$C$1:$C$1001,_xleta.N/A,0))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f t="shared" si="42"/>
        <v>67.5</v>
      </c>
      <c r="N924" t="str">
        <f t="shared" si="43"/>
        <v>Arabica</v>
      </c>
      <c r="O924" t="str">
        <f t="shared" si="44"/>
        <v>Medium</v>
      </c>
      <c r="P924" t="str">
        <f>_xlfn.XLOOKUP(Table1[[#This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cm="1">
        <f t="array" ref="G925">IF(_xlfn.XLOOKUP(C925,customers!$A$1:$A$1001,customers!$C$1:$C$1001,_xleta.N/A,0)=0,"",_xlfn.XLOOKUP(C925,customers!$A$1:$A$1001,customers!$C$1:$C$1001,_xleta.N/A,0))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f t="shared" si="42"/>
        <v>27.945</v>
      </c>
      <c r="N925" t="str">
        <f t="shared" si="43"/>
        <v>Excelsa</v>
      </c>
      <c r="O925" t="str">
        <f t="shared" si="44"/>
        <v>Dark</v>
      </c>
      <c r="P925" t="str">
        <f>_xlfn.XLOOKUP(Table1[[#This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cm="1">
        <f t="array" ref="G926">IF(_xlfn.XLOOKUP(C926,customers!$A$1:$A$1001,customers!$C$1:$C$1001,_xleta.N/A,0)=0,"",_xlfn.XLOOKUP(C926,customers!$A$1:$A$1001,customers!$C$1:$C$1001,_xleta.N/A,0))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f t="shared" si="42"/>
        <v>89.35499999999999</v>
      </c>
      <c r="N926" t="str">
        <f t="shared" si="43"/>
        <v>Arabica</v>
      </c>
      <c r="O926" t="str">
        <f t="shared" si="44"/>
        <v>Large</v>
      </c>
      <c r="P926" t="str">
        <f>_xlfn.XLOOKUP(Table1[[#This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cm="1">
        <f t="array" ref="G927">IF(_xlfn.XLOOKUP(C927,customers!$A$1:$A$1001,customers!$C$1:$C$1001,_xleta.N/A,0)=0,"",_xlfn.XLOOKUP(C927,customers!$A$1:$A$1001,customers!$C$1:$C$1001,_xleta.N/A,0))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f t="shared" si="42"/>
        <v>20.25</v>
      </c>
      <c r="N927" t="str">
        <f t="shared" si="43"/>
        <v>Arabica</v>
      </c>
      <c r="O927" t="str">
        <f t="shared" si="44"/>
        <v>Medium</v>
      </c>
      <c r="P927" t="str">
        <f>_xlfn.XLOOKUP(Table1[[#This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cm="1">
        <f t="array" ref="G928">IF(_xlfn.XLOOKUP(C928,customers!$A$1:$A$1001,customers!$C$1:$C$1001,_xleta.N/A,0)=0,"",_xlfn.XLOOKUP(C928,customers!$A$1:$A$1001,customers!$C$1:$C$1001,_xleta.N/A,0))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f t="shared" si="42"/>
        <v>33.75</v>
      </c>
      <c r="N928" t="str">
        <f t="shared" si="43"/>
        <v>Arabica</v>
      </c>
      <c r="O928" t="str">
        <f t="shared" si="44"/>
        <v>Medium</v>
      </c>
      <c r="P928" t="str">
        <f>_xlfn.XLOOKUP(Table1[[#This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cm="1">
        <f t="array" ref="G929">IF(_xlfn.XLOOKUP(C929,customers!$A$1:$A$1001,customers!$C$1:$C$1001,_xleta.N/A,0)=0,"",_xlfn.XLOOKUP(C929,customers!$A$1:$A$1001,customers!$C$1:$C$1001,_xleta.N/A,0))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f t="shared" si="42"/>
        <v>111.78</v>
      </c>
      <c r="N929" t="str">
        <f t="shared" si="43"/>
        <v>Excelsa</v>
      </c>
      <c r="O929" t="str">
        <f t="shared" si="44"/>
        <v>Dark</v>
      </c>
      <c r="P929" t="str">
        <f>_xlfn.XLOOKUP(Table1[[#This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cm="1">
        <f t="array" ref="G930">IF(_xlfn.XLOOKUP(C930,customers!$A$1:$A$1001,customers!$C$1:$C$1001,_xleta.N/A,0)=0,"",_xlfn.XLOOKUP(C930,customers!$A$1:$A$1001,customers!$C$1:$C$1001,_xleta.N/A,0))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f t="shared" si="42"/>
        <v>63.249999999999993</v>
      </c>
      <c r="N930" t="str">
        <f t="shared" si="43"/>
        <v>Excelsa</v>
      </c>
      <c r="O930" t="str">
        <f t="shared" si="44"/>
        <v>Medium</v>
      </c>
      <c r="P930" t="str">
        <f>_xlfn.XLOOKUP(Table1[[#This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cm="1">
        <f t="array" ref="G931">IF(_xlfn.XLOOKUP(C931,customers!$A$1:$A$1001,customers!$C$1:$C$1001,_xleta.N/A,0)=0,"",_xlfn.XLOOKUP(C931,customers!$A$1:$A$1001,customers!$C$1:$C$1001,_xleta.N/A,0))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f t="shared" si="42"/>
        <v>8.91</v>
      </c>
      <c r="N931" t="str">
        <f t="shared" si="43"/>
        <v>Excelsa</v>
      </c>
      <c r="O931" t="str">
        <f t="shared" si="44"/>
        <v>Large</v>
      </c>
      <c r="P931" t="str">
        <f>_xlfn.XLOOKUP(Table1[[#This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cm="1">
        <f t="array" ref="G932">IF(_xlfn.XLOOKUP(C932,customers!$A$1:$A$1001,customers!$C$1:$C$1001,_xleta.N/A,0)=0,"",_xlfn.XLOOKUP(C932,customers!$A$1:$A$1001,customers!$C$1:$C$1001,_xleta.N/A,0))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f t="shared" si="42"/>
        <v>12.15</v>
      </c>
      <c r="N932" t="str">
        <f t="shared" si="43"/>
        <v>Excelsa</v>
      </c>
      <c r="O932" t="str">
        <f t="shared" si="44"/>
        <v>Dark</v>
      </c>
      <c r="P932" t="str">
        <f>_xlfn.XLOOKUP(Table1[[#This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cm="1">
        <f t="array" ref="G933">IF(_xlfn.XLOOKUP(C933,customers!$A$1:$A$1001,customers!$C$1:$C$1001,_xleta.N/A,0)=0,"",_xlfn.XLOOKUP(C933,customers!$A$1:$A$1001,customers!$C$1:$C$1001,_xleta.N/A,0))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f t="shared" si="42"/>
        <v>23.88</v>
      </c>
      <c r="N933" t="str">
        <f t="shared" si="43"/>
        <v>Arabica</v>
      </c>
      <c r="O933" t="str">
        <f t="shared" si="44"/>
        <v>Dark</v>
      </c>
      <c r="P933" t="str">
        <f>_xlfn.XLOOKUP(Table1[[#This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cm="1">
        <f t="array" ref="G934">IF(_xlfn.XLOOKUP(C934,customers!$A$1:$A$1001,customers!$C$1:$C$1001,_xleta.N/A,0)=0,"",_xlfn.XLOOKUP(C934,customers!$A$1:$A$1001,customers!$C$1:$C$1001,_xleta.N/A,0))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f t="shared" si="42"/>
        <v>55</v>
      </c>
      <c r="N934" t="str">
        <f t="shared" si="43"/>
        <v>Excelsa</v>
      </c>
      <c r="O934" t="str">
        <f t="shared" si="44"/>
        <v>Medium</v>
      </c>
      <c r="P934" t="str">
        <f>_xlfn.XLOOKUP(Table1[[#This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cm="1">
        <f t="array" ref="G935">IF(_xlfn.XLOOKUP(C935,customers!$A$1:$A$1001,customers!$C$1:$C$1001,_xleta.N/A,0)=0,"",_xlfn.XLOOKUP(C935,customers!$A$1:$A$1001,customers!$C$1:$C$1001,_xleta.N/A,0))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f t="shared" si="42"/>
        <v>26.849999999999998</v>
      </c>
      <c r="N935" t="str">
        <f t="shared" si="43"/>
        <v>Robusta</v>
      </c>
      <c r="O935" t="str">
        <f t="shared" si="44"/>
        <v>Dark</v>
      </c>
      <c r="P935" t="str">
        <f>_xlfn.XLOOKUP(Table1[[#This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cm="1">
        <f t="array" ref="G936">IF(_xlfn.XLOOKUP(C936,customers!$A$1:$A$1001,customers!$C$1:$C$1001,_xleta.N/A,0)=0,"",_xlfn.XLOOKUP(C936,customers!$A$1:$A$1001,customers!$C$1:$C$1001,_xleta.N/A,0))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f t="shared" si="42"/>
        <v>114.42499999999998</v>
      </c>
      <c r="N936" t="str">
        <f t="shared" si="43"/>
        <v>Robusta</v>
      </c>
      <c r="O936" t="str">
        <f t="shared" si="44"/>
        <v>Medium</v>
      </c>
      <c r="P936" t="str">
        <f>_xlfn.XLOOKUP(Table1[[#This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cm="1">
        <f t="array" ref="G937">IF(_xlfn.XLOOKUP(C937,customers!$A$1:$A$1001,customers!$C$1:$C$1001,_xleta.N/A,0)=0,"",_xlfn.XLOOKUP(C937,customers!$A$1:$A$1001,customers!$C$1:$C$1001,_xleta.N/A,0))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f t="shared" si="42"/>
        <v>155.24999999999997</v>
      </c>
      <c r="N937" t="str">
        <f t="shared" si="43"/>
        <v>Arabica</v>
      </c>
      <c r="O937" t="str">
        <f t="shared" si="44"/>
        <v>Medium</v>
      </c>
      <c r="P937" t="str">
        <f>_xlfn.XLOOKUP(Table1[[#This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cm="1">
        <f t="array" ref="G938">IF(_xlfn.XLOOKUP(C938,customers!$A$1:$A$1001,customers!$C$1:$C$1001,_xleta.N/A,0)=0,"",_xlfn.XLOOKUP(C938,customers!$A$1:$A$1001,customers!$C$1:$C$1001,_xleta.N/A,0))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f t="shared" si="42"/>
        <v>23.31</v>
      </c>
      <c r="N938" t="str">
        <f t="shared" si="43"/>
        <v>Liberica</v>
      </c>
      <c r="O938" t="str">
        <f t="shared" si="44"/>
        <v>Dark</v>
      </c>
      <c r="P938" t="str">
        <f>_xlfn.XLOOKUP(Table1[[#This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cm="1">
        <f t="array" ref="G939">IF(_xlfn.XLOOKUP(C939,customers!$A$1:$A$1001,customers!$C$1:$C$1001,_xleta.N/A,0)=0,"",_xlfn.XLOOKUP(C939,customers!$A$1:$A$1001,customers!$C$1:$C$1001,_xleta.N/A,0))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f t="shared" si="42"/>
        <v>91.539999999999992</v>
      </c>
      <c r="N939" t="str">
        <f t="shared" si="43"/>
        <v>Robusta</v>
      </c>
      <c r="O939" t="str">
        <f t="shared" si="44"/>
        <v>Medium</v>
      </c>
      <c r="P939" t="str">
        <f>_xlfn.XLOOKUP(Table1[[#This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cm="1">
        <f t="array" ref="G940">IF(_xlfn.XLOOKUP(C940,customers!$A$1:$A$1001,customers!$C$1:$C$1001,_xleta.N/A,0)=0,"",_xlfn.XLOOKUP(C940,customers!$A$1:$A$1001,customers!$C$1:$C$1001,_xleta.N/A,0))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f t="shared" si="42"/>
        <v>74.25</v>
      </c>
      <c r="N940" t="str">
        <f t="shared" si="43"/>
        <v>Excelsa</v>
      </c>
      <c r="O940" t="str">
        <f t="shared" si="44"/>
        <v>Large</v>
      </c>
      <c r="P940" t="str">
        <f>_xlfn.XLOOKUP(Table1[[#This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cm="1">
        <f t="array" ref="G941">IF(_xlfn.XLOOKUP(C941,customers!$A$1:$A$1001,customers!$C$1:$C$1001,_xleta.N/A,0)=0,"",_xlfn.XLOOKUP(C941,customers!$A$1:$A$1001,customers!$C$1:$C$1001,_xleta.N/A,0))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f t="shared" si="42"/>
        <v>28.53</v>
      </c>
      <c r="N941" t="str">
        <f t="shared" si="43"/>
        <v>Liberica</v>
      </c>
      <c r="O941" t="str">
        <f t="shared" si="44"/>
        <v>Large</v>
      </c>
      <c r="P941" t="str">
        <f>_xlfn.XLOOKUP(Table1[[#This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cm="1">
        <f t="array" ref="G942">IF(_xlfn.XLOOKUP(C942,customers!$A$1:$A$1001,customers!$C$1:$C$1001,_xleta.N/A,0)=0,"",_xlfn.XLOOKUP(C942,customers!$A$1:$A$1001,customers!$C$1:$C$1001,_xleta.N/A,0))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f t="shared" si="42"/>
        <v>14.339999999999998</v>
      </c>
      <c r="N942" t="str">
        <f t="shared" si="43"/>
        <v>Robusta</v>
      </c>
      <c r="O942" t="str">
        <f t="shared" si="44"/>
        <v>Large</v>
      </c>
      <c r="P942" t="str">
        <f>_xlfn.XLOOKUP(Table1[[#This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cm="1">
        <f t="array" ref="G943">IF(_xlfn.XLOOKUP(C943,customers!$A$1:$A$1001,customers!$C$1:$C$1001,_xleta.N/A,0)=0,"",_xlfn.XLOOKUP(C943,customers!$A$1:$A$1001,customers!$C$1:$C$1001,_xleta.N/A,0))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f t="shared" si="42"/>
        <v>15.54</v>
      </c>
      <c r="N943" t="str">
        <f t="shared" si="43"/>
        <v>Arabica</v>
      </c>
      <c r="O943" t="str">
        <f t="shared" si="44"/>
        <v>Large</v>
      </c>
      <c r="P943" t="str">
        <f>_xlfn.XLOOKUP(Table1[[#This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cm="1">
        <f t="array" ref="G944">IF(_xlfn.XLOOKUP(C944,customers!$A$1:$A$1001,customers!$C$1:$C$1001,_xleta.N/A,0)=0,"",_xlfn.XLOOKUP(C944,customers!$A$1:$A$1001,customers!$C$1:$C$1001,_xleta.N/A,0))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f t="shared" si="42"/>
        <v>35.849999999999994</v>
      </c>
      <c r="N944" t="str">
        <f t="shared" si="43"/>
        <v>Robusta</v>
      </c>
      <c r="O944" t="str">
        <f t="shared" si="44"/>
        <v>Large</v>
      </c>
      <c r="P944" t="str">
        <f>_xlfn.XLOOKUP(Table1[[#This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cm="1">
        <f t="array" ref="G945">IF(_xlfn.XLOOKUP(C945,customers!$A$1:$A$1001,customers!$C$1:$C$1001,_xleta.N/A,0)=0,"",_xlfn.XLOOKUP(C945,customers!$A$1:$A$1001,customers!$C$1:$C$1001,_xleta.N/A,0))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f t="shared" si="42"/>
        <v>46.62</v>
      </c>
      <c r="N945" t="str">
        <f t="shared" si="43"/>
        <v>Arabica</v>
      </c>
      <c r="O945" t="str">
        <f t="shared" si="44"/>
        <v>Large</v>
      </c>
      <c r="P945" t="str">
        <f>_xlfn.XLOOKUP(Table1[[#This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cm="1">
        <f t="array" ref="G946">IF(_xlfn.XLOOKUP(C946,customers!$A$1:$A$1001,customers!$C$1:$C$1001,_xleta.N/A,0)=0,"",_xlfn.XLOOKUP(C946,customers!$A$1:$A$1001,customers!$C$1:$C$1001,_xleta.N/A,0))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f t="shared" si="42"/>
        <v>35.849999999999994</v>
      </c>
      <c r="N946" t="str">
        <f t="shared" si="43"/>
        <v>Robusta</v>
      </c>
      <c r="O946" t="str">
        <f t="shared" si="44"/>
        <v>Large</v>
      </c>
      <c r="P946" t="str">
        <f>_xlfn.XLOOKUP(Table1[[#This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cm="1">
        <f t="array" ref="G947">IF(_xlfn.XLOOKUP(C947,customers!$A$1:$A$1001,customers!$C$1:$C$1001,_xleta.N/A,0)=0,"",_xlfn.XLOOKUP(C947,customers!$A$1:$A$1001,customers!$C$1:$C$1001,_xleta.N/A,0))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f t="shared" si="42"/>
        <v>119.13999999999999</v>
      </c>
      <c r="N947" t="str">
        <f t="shared" si="43"/>
        <v>Liberica</v>
      </c>
      <c r="O947" t="str">
        <f t="shared" si="44"/>
        <v>Dark</v>
      </c>
      <c r="P947" t="str">
        <f>_xlfn.XLOOKUP(Table1[[#This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cm="1">
        <f t="array" ref="G948">IF(_xlfn.XLOOKUP(C948,customers!$A$1:$A$1001,customers!$C$1:$C$1001,_xleta.N/A,0)=0,"",_xlfn.XLOOKUP(C948,customers!$A$1:$A$1001,customers!$C$1:$C$1001,_xleta.N/A,0))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f t="shared" si="42"/>
        <v>23.31</v>
      </c>
      <c r="N948" t="str">
        <f t="shared" si="43"/>
        <v>Liberica</v>
      </c>
      <c r="O948" t="str">
        <f t="shared" si="44"/>
        <v>Dark</v>
      </c>
      <c r="P948" t="str">
        <f>_xlfn.XLOOKUP(Table1[[#This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cm="1">
        <f t="array" ref="G949">IF(_xlfn.XLOOKUP(C949,customers!$A$1:$A$1001,customers!$C$1:$C$1001,_xleta.N/A,0)=0,"",_xlfn.XLOOKUP(C949,customers!$A$1:$A$1001,customers!$C$1:$C$1001,_xleta.N/A,0))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f t="shared" si="42"/>
        <v>11.25</v>
      </c>
      <c r="N949" t="str">
        <f t="shared" si="43"/>
        <v>Arabica</v>
      </c>
      <c r="O949" t="str">
        <f t="shared" si="44"/>
        <v>Medium</v>
      </c>
      <c r="P949" t="str">
        <f>_xlfn.XLOOKUP(Table1[[#This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cm="1">
        <f t="array" ref="G950">IF(_xlfn.XLOOKUP(C950,customers!$A$1:$A$1001,customers!$C$1:$C$1001,_xleta.N/A,0)=0,"",_xlfn.XLOOKUP(C950,customers!$A$1:$A$1001,customers!$C$1:$C$1001,_xleta.N/A,0))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f t="shared" si="42"/>
        <v>83.835000000000008</v>
      </c>
      <c r="N950" t="str">
        <f t="shared" si="43"/>
        <v>Excelsa</v>
      </c>
      <c r="O950" t="str">
        <f t="shared" si="44"/>
        <v>Dark</v>
      </c>
      <c r="P950" t="str">
        <f>_xlfn.XLOOKUP(Table1[[#This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cm="1">
        <f t="array" ref="G951">IF(_xlfn.XLOOKUP(C951,customers!$A$1:$A$1001,customers!$C$1:$C$1001,_xleta.N/A,0)=0,"",_xlfn.XLOOKUP(C951,customers!$A$1:$A$1001,customers!$C$1:$C$1001,_xleta.N/A,0))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f t="shared" si="42"/>
        <v>109.93999999999998</v>
      </c>
      <c r="N951" t="str">
        <f t="shared" si="43"/>
        <v>Robusta</v>
      </c>
      <c r="O951" t="str">
        <f t="shared" si="44"/>
        <v>Large</v>
      </c>
      <c r="P951" t="str">
        <f>_xlfn.XLOOKUP(Table1[[#This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cm="1">
        <f t="array" ref="G952">IF(_xlfn.XLOOKUP(C952,customers!$A$1:$A$1001,customers!$C$1:$C$1001,_xleta.N/A,0)=0,"",_xlfn.XLOOKUP(C952,customers!$A$1:$A$1001,customers!$C$1:$C$1001,_xleta.N/A,0))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f t="shared" si="42"/>
        <v>14.339999999999998</v>
      </c>
      <c r="N952" t="str">
        <f t="shared" si="43"/>
        <v>Robusta</v>
      </c>
      <c r="O952" t="str">
        <f t="shared" si="44"/>
        <v>Large</v>
      </c>
      <c r="P952" t="str">
        <f>_xlfn.XLOOKUP(Table1[[#This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cm="1">
        <f t="array" ref="G953">IF(_xlfn.XLOOKUP(C953,customers!$A$1:$A$1001,customers!$C$1:$C$1001,_xleta.N/A,0)=0,"",_xlfn.XLOOKUP(C953,customers!$A$1:$A$1001,customers!$C$1:$C$1001,_xleta.N/A,0))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f t="shared" si="42"/>
        <v>21.509999999999998</v>
      </c>
      <c r="N953" t="str">
        <f t="shared" si="43"/>
        <v>Robusta</v>
      </c>
      <c r="O953" t="str">
        <f t="shared" si="44"/>
        <v>Large</v>
      </c>
      <c r="P953" t="str">
        <f>_xlfn.XLOOKUP(Table1[[#This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cm="1">
        <f t="array" ref="G954">IF(_xlfn.XLOOKUP(C954,customers!$A$1:$A$1001,customers!$C$1:$C$1001,_xleta.N/A,0)=0,"",_xlfn.XLOOKUP(C954,customers!$A$1:$A$1001,customers!$C$1:$C$1001,_xleta.N/A,0))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f t="shared" si="42"/>
        <v>22.5</v>
      </c>
      <c r="N954" t="str">
        <f t="shared" si="43"/>
        <v>Arabica</v>
      </c>
      <c r="O954" t="str">
        <f t="shared" si="44"/>
        <v>Medium</v>
      </c>
      <c r="P954" t="str">
        <f>_xlfn.XLOOKUP(Table1[[#This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cm="1">
        <f t="array" ref="G955">IF(_xlfn.XLOOKUP(C955,customers!$A$1:$A$1001,customers!$C$1:$C$1001,_xleta.N/A,0)=0,"",_xlfn.XLOOKUP(C955,customers!$A$1:$A$1001,customers!$C$1:$C$1001,_xleta.N/A,0))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f t="shared" si="42"/>
        <v>3.8849999999999998</v>
      </c>
      <c r="N955" t="str">
        <f t="shared" si="43"/>
        <v>Arabica</v>
      </c>
      <c r="O955" t="str">
        <f t="shared" si="44"/>
        <v>Large</v>
      </c>
      <c r="P955" t="str">
        <f>_xlfn.XLOOKUP(Table1[[#This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cm="1">
        <f t="array" ref="G956">IF(_xlfn.XLOOKUP(C956,customers!$A$1:$A$1001,customers!$C$1:$C$1001,_xleta.N/A,0)=0,"",_xlfn.XLOOKUP(C956,customers!$A$1:$A$1001,customers!$C$1:$C$1001,_xleta.N/A,0))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f t="shared" si="42"/>
        <v>27.945</v>
      </c>
      <c r="N956" t="str">
        <f t="shared" si="43"/>
        <v>Excelsa</v>
      </c>
      <c r="O956" t="str">
        <f t="shared" si="44"/>
        <v>Dark</v>
      </c>
      <c r="P956" t="str">
        <f>_xlfn.XLOOKUP(Table1[[#This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cm="1">
        <f t="array" ref="G957">IF(_xlfn.XLOOKUP(C957,customers!$A$1:$A$1001,customers!$C$1:$C$1001,_xleta.N/A,0)=0,"",_xlfn.XLOOKUP(C957,customers!$A$1:$A$1001,customers!$C$1:$C$1001,_xleta.N/A,0))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f t="shared" si="42"/>
        <v>170.77499999999998</v>
      </c>
      <c r="N957" t="str">
        <f t="shared" si="43"/>
        <v>Excelsa</v>
      </c>
      <c r="O957" t="str">
        <f t="shared" si="44"/>
        <v>Large</v>
      </c>
      <c r="P957" t="str">
        <f>_xlfn.XLOOKUP(Table1[[#This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cm="1">
        <f t="array" ref="G958">IF(_xlfn.XLOOKUP(C958,customers!$A$1:$A$1001,customers!$C$1:$C$1001,_xleta.N/A,0)=0,"",_xlfn.XLOOKUP(C958,customers!$A$1:$A$1001,customers!$C$1:$C$1001,_xleta.N/A,0))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f t="shared" si="42"/>
        <v>54.969999999999992</v>
      </c>
      <c r="N958" t="str">
        <f t="shared" si="43"/>
        <v>Robusta</v>
      </c>
      <c r="O958" t="str">
        <f t="shared" si="44"/>
        <v>Large</v>
      </c>
      <c r="P958" t="str">
        <f>_xlfn.XLOOKUP(Table1[[#This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cm="1">
        <f t="array" ref="G959">IF(_xlfn.XLOOKUP(C959,customers!$A$1:$A$1001,customers!$C$1:$C$1001,_xleta.N/A,0)=0,"",_xlfn.XLOOKUP(C959,customers!$A$1:$A$1001,customers!$C$1:$C$1001,_xleta.N/A,0))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f t="shared" si="42"/>
        <v>14.85</v>
      </c>
      <c r="N959" t="str">
        <f t="shared" si="43"/>
        <v>Excelsa</v>
      </c>
      <c r="O959" t="str">
        <f t="shared" si="44"/>
        <v>Large</v>
      </c>
      <c r="P959" t="str">
        <f>_xlfn.XLOOKUP(Table1[[#This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cm="1">
        <f t="array" ref="G960">IF(_xlfn.XLOOKUP(C960,customers!$A$1:$A$1001,customers!$C$1:$C$1001,_xleta.N/A,0)=0,"",_xlfn.XLOOKUP(C960,customers!$A$1:$A$1001,customers!$C$1:$C$1001,_xleta.N/A,0))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f t="shared" si="42"/>
        <v>7.77</v>
      </c>
      <c r="N960" t="str">
        <f t="shared" si="43"/>
        <v>Arabica</v>
      </c>
      <c r="O960" t="str">
        <f t="shared" si="44"/>
        <v>Large</v>
      </c>
      <c r="P960" t="str">
        <f>_xlfn.XLOOKUP(Table1[[#This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cm="1">
        <f t="array" ref="G961">IF(_xlfn.XLOOKUP(C961,customers!$A$1:$A$1001,customers!$C$1:$C$1001,_xleta.N/A,0)=0,"",_xlfn.XLOOKUP(C961,customers!$A$1:$A$1001,customers!$C$1:$C$1001,_xleta.N/A,0))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f t="shared" si="42"/>
        <v>23.774999999999999</v>
      </c>
      <c r="N961" t="str">
        <f t="shared" si="43"/>
        <v>Liberica</v>
      </c>
      <c r="O961" t="str">
        <f t="shared" si="44"/>
        <v>Large</v>
      </c>
      <c r="P961" t="str">
        <f>_xlfn.XLOOKUP(Table1[[#This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cm="1">
        <f t="array" ref="G962">IF(_xlfn.XLOOKUP(C962,customers!$A$1:$A$1001,customers!$C$1:$C$1001,_xleta.N/A,0)=0,"",_xlfn.XLOOKUP(C962,customers!$A$1:$A$1001,customers!$C$1:$C$1001,_xleta.N/A,0))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f t="shared" si="42"/>
        <v>79.25</v>
      </c>
      <c r="N962" t="str">
        <f t="shared" si="43"/>
        <v>Liberica</v>
      </c>
      <c r="O962" t="str">
        <f t="shared" si="44"/>
        <v>Large</v>
      </c>
      <c r="P962" t="str">
        <f>_xlfn.XLOOKUP(Table1[[#This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cm="1">
        <f t="array" ref="G963">IF(_xlfn.XLOOKUP(C963,customers!$A$1:$A$1001,customers!$C$1:$C$1001,_xleta.N/A,0)=0,"",_xlfn.XLOOKUP(C963,customers!$A$1:$A$1001,customers!$C$1:$C$1001,_xleta.N/A,0))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_xlfn.XLOOKUP(Table1[[#This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cm="1">
        <f t="array" ref="G964">IF(_xlfn.XLOOKUP(C964,customers!$A$1:$A$1001,customers!$C$1:$C$1001,_xleta.N/A,0)=0,"",_xlfn.XLOOKUP(C964,customers!$A$1:$A$1001,customers!$C$1:$C$1001,_xleta.N/A,0))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f t="shared" si="45"/>
        <v>8.9499999999999993</v>
      </c>
      <c r="N964" t="str">
        <f t="shared" si="46"/>
        <v>Robusta</v>
      </c>
      <c r="O964" t="str">
        <f t="shared" si="47"/>
        <v>Dark</v>
      </c>
      <c r="P964" t="str">
        <f>_xlfn.XLOOKUP(Table1[[#This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cm="1">
        <f t="array" ref="G965">IF(_xlfn.XLOOKUP(C965,customers!$A$1:$A$1001,customers!$C$1:$C$1001,_xleta.N/A,0)=0,"",_xlfn.XLOOKUP(C965,customers!$A$1:$A$1001,customers!$C$1:$C$1001,_xleta.N/A,0))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f t="shared" si="45"/>
        <v>23.88</v>
      </c>
      <c r="N965" t="str">
        <f t="shared" si="46"/>
        <v>Robusta</v>
      </c>
      <c r="O965" t="str">
        <f t="shared" si="47"/>
        <v>Medium</v>
      </c>
      <c r="P965" t="str">
        <f>_xlfn.XLOOKUP(Table1[[#This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cm="1">
        <f t="array" ref="G966">IF(_xlfn.XLOOKUP(C966,customers!$A$1:$A$1001,customers!$C$1:$C$1001,_xleta.N/A,0)=0,"",_xlfn.XLOOKUP(C966,customers!$A$1:$A$1001,customers!$C$1:$C$1001,_xleta.N/A,0))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f t="shared" si="45"/>
        <v>22.274999999999999</v>
      </c>
      <c r="N966" t="str">
        <f t="shared" si="46"/>
        <v>Excelsa</v>
      </c>
      <c r="O966" t="str">
        <f t="shared" si="47"/>
        <v>Large</v>
      </c>
      <c r="P966" t="str">
        <f>_xlfn.XLOOKUP(Table1[[#This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cm="1">
        <f t="array" ref="G967">IF(_xlfn.XLOOKUP(C967,customers!$A$1:$A$1001,customers!$C$1:$C$1001,_xleta.N/A,0)=0,"",_xlfn.XLOOKUP(C967,customers!$A$1:$A$1001,customers!$C$1:$C$1001,_xleta.N/A,0))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f t="shared" si="45"/>
        <v>29.849999999999998</v>
      </c>
      <c r="N967" t="str">
        <f t="shared" si="46"/>
        <v>Robusta</v>
      </c>
      <c r="O967" t="str">
        <f t="shared" si="47"/>
        <v>Medium</v>
      </c>
      <c r="P967" t="str">
        <f>_xlfn.XLOOKUP(Table1[[#This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cm="1">
        <f t="array" ref="G968">IF(_xlfn.XLOOKUP(C968,customers!$A$1:$A$1001,customers!$C$1:$C$1001,_xleta.N/A,0)=0,"",_xlfn.XLOOKUP(C968,customers!$A$1:$A$1001,customers!$C$1:$C$1001,_xleta.N/A,0))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f t="shared" si="45"/>
        <v>53.46</v>
      </c>
      <c r="N968" t="str">
        <f t="shared" si="46"/>
        <v>Excelsa</v>
      </c>
      <c r="O968" t="str">
        <f t="shared" si="47"/>
        <v>Large</v>
      </c>
      <c r="P968" t="str">
        <f>_xlfn.XLOOKUP(Table1[[#This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cm="1">
        <f t="array" ref="G969">IF(_xlfn.XLOOKUP(C969,customers!$A$1:$A$1001,customers!$C$1:$C$1001,_xleta.N/A,0)=0,"",_xlfn.XLOOKUP(C969,customers!$A$1:$A$1001,customers!$C$1:$C$1001,_xleta.N/A,0))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f t="shared" si="45"/>
        <v>2.6849999999999996</v>
      </c>
      <c r="N969" t="str">
        <f t="shared" si="46"/>
        <v>Robusta</v>
      </c>
      <c r="O969" t="str">
        <f t="shared" si="47"/>
        <v>Dark</v>
      </c>
      <c r="P969" t="str">
        <f>_xlfn.XLOOKUP(Table1[[#This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cm="1">
        <f t="array" ref="G970">IF(_xlfn.XLOOKUP(C970,customers!$A$1:$A$1001,customers!$C$1:$C$1001,_xleta.N/A,0)=0,"",_xlfn.XLOOKUP(C970,customers!$A$1:$A$1001,customers!$C$1:$C$1001,_xleta.N/A,0))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f t="shared" si="45"/>
        <v>5.97</v>
      </c>
      <c r="N970" t="str">
        <f t="shared" si="46"/>
        <v>Robusta</v>
      </c>
      <c r="O970" t="str">
        <f t="shared" si="47"/>
        <v>Medium</v>
      </c>
      <c r="P970" t="str">
        <f>_xlfn.XLOOKUP(Table1[[#This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cm="1">
        <f t="array" ref="G971">IF(_xlfn.XLOOKUP(C971,customers!$A$1:$A$1001,customers!$C$1:$C$1001,_xleta.N/A,0)=0,"",_xlfn.XLOOKUP(C971,customers!$A$1:$A$1001,customers!$C$1:$C$1001,_xleta.N/A,0))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f t="shared" si="45"/>
        <v>12.95</v>
      </c>
      <c r="N971" t="str">
        <f t="shared" si="46"/>
        <v>Liberica</v>
      </c>
      <c r="O971" t="str">
        <f t="shared" si="47"/>
        <v>Dark</v>
      </c>
      <c r="P971" t="str">
        <f>_xlfn.XLOOKUP(Table1[[#This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cm="1">
        <f t="array" ref="G972">IF(_xlfn.XLOOKUP(C972,customers!$A$1:$A$1001,customers!$C$1:$C$1001,_xleta.N/A,0)=0,"",_xlfn.XLOOKUP(C972,customers!$A$1:$A$1001,customers!$C$1:$C$1001,_xleta.N/A,0))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f t="shared" si="45"/>
        <v>8.25</v>
      </c>
      <c r="N972" t="str">
        <f t="shared" si="46"/>
        <v>Excelsa</v>
      </c>
      <c r="O972" t="str">
        <f t="shared" si="47"/>
        <v>Medium</v>
      </c>
      <c r="P972" t="str">
        <f>_xlfn.XLOOKUP(Table1[[#This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cm="1">
        <f t="array" ref="G973">IF(_xlfn.XLOOKUP(C973,customers!$A$1:$A$1001,customers!$C$1:$C$1001,_xleta.N/A,0)=0,"",_xlfn.XLOOKUP(C973,customers!$A$1:$A$1001,customers!$C$1:$C$1001,_xleta.N/A,0))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f t="shared" si="45"/>
        <v>148.92499999999998</v>
      </c>
      <c r="N973" t="str">
        <f t="shared" si="46"/>
        <v>Arabica</v>
      </c>
      <c r="O973" t="str">
        <f t="shared" si="47"/>
        <v>Large</v>
      </c>
      <c r="P973" t="str">
        <f>_xlfn.XLOOKUP(Table1[[#This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cm="1">
        <f t="array" ref="G974">IF(_xlfn.XLOOKUP(C974,customers!$A$1:$A$1001,customers!$C$1:$C$1001,_xleta.N/A,0)=0,"",_xlfn.XLOOKUP(C974,customers!$A$1:$A$1001,customers!$C$1:$C$1001,_xleta.N/A,0))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f t="shared" si="45"/>
        <v>89.35499999999999</v>
      </c>
      <c r="N974" t="str">
        <f t="shared" si="46"/>
        <v>Arabica</v>
      </c>
      <c r="O974" t="str">
        <f t="shared" si="47"/>
        <v>Large</v>
      </c>
      <c r="P974" t="str">
        <f>_xlfn.XLOOKUP(Table1[[#This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cm="1">
        <f t="array" ref="G975">IF(_xlfn.XLOOKUP(C975,customers!$A$1:$A$1001,customers!$C$1:$C$1001,_xleta.N/A,0)=0,"",_xlfn.XLOOKUP(C975,customers!$A$1:$A$1001,customers!$C$1:$C$1001,_xleta.N/A,0))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f t="shared" si="45"/>
        <v>87.300000000000011</v>
      </c>
      <c r="N975" t="str">
        <f t="shared" si="46"/>
        <v>Liberica</v>
      </c>
      <c r="O975" t="str">
        <f t="shared" si="47"/>
        <v>Medium</v>
      </c>
      <c r="P975" t="str">
        <f>_xlfn.XLOOKUP(Table1[[#This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cm="1">
        <f t="array" ref="G976">IF(_xlfn.XLOOKUP(C976,customers!$A$1:$A$1001,customers!$C$1:$C$1001,_xleta.N/A,0)=0,"",_xlfn.XLOOKUP(C976,customers!$A$1:$A$1001,customers!$C$1:$C$1001,_xleta.N/A,0))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f t="shared" si="45"/>
        <v>5.3699999999999992</v>
      </c>
      <c r="N976" t="str">
        <f t="shared" si="46"/>
        <v>Robusta</v>
      </c>
      <c r="O976" t="str">
        <f t="shared" si="47"/>
        <v>Dark</v>
      </c>
      <c r="P976" t="str">
        <f>_xlfn.XLOOKUP(Table1[[#This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cm="1">
        <f t="array" ref="G977">IF(_xlfn.XLOOKUP(C977,customers!$A$1:$A$1001,customers!$C$1:$C$1001,_xleta.N/A,0)=0,"",_xlfn.XLOOKUP(C977,customers!$A$1:$A$1001,customers!$C$1:$C$1001,_xleta.N/A,0))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f t="shared" si="45"/>
        <v>8.9550000000000001</v>
      </c>
      <c r="N977" t="str">
        <f t="shared" si="46"/>
        <v>Arabica</v>
      </c>
      <c r="O977" t="str">
        <f t="shared" si="47"/>
        <v>Dark</v>
      </c>
      <c r="P977" t="str">
        <f>_xlfn.XLOOKUP(Table1[[#This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cm="1">
        <f t="array" ref="G978">IF(_xlfn.XLOOKUP(C978,customers!$A$1:$A$1001,customers!$C$1:$C$1001,_xleta.N/A,0)=0,"",_xlfn.XLOOKUP(C978,customers!$A$1:$A$1001,customers!$C$1:$C$1001,_xleta.N/A,0))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f t="shared" si="45"/>
        <v>137.42499999999998</v>
      </c>
      <c r="N978" t="str">
        <f t="shared" si="46"/>
        <v>Robusta</v>
      </c>
      <c r="O978" t="str">
        <f t="shared" si="47"/>
        <v>Large</v>
      </c>
      <c r="P978" t="str">
        <f>_xlfn.XLOOKUP(Table1[[#This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cm="1">
        <f t="array" ref="G979">IF(_xlfn.XLOOKUP(C979,customers!$A$1:$A$1001,customers!$C$1:$C$1001,_xleta.N/A,0)=0,"",_xlfn.XLOOKUP(C979,customers!$A$1:$A$1001,customers!$C$1:$C$1001,_xleta.N/A,0))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f t="shared" si="45"/>
        <v>59.75</v>
      </c>
      <c r="N979" t="str">
        <f t="shared" si="46"/>
        <v>Robusta</v>
      </c>
      <c r="O979" t="str">
        <f t="shared" si="47"/>
        <v>Large</v>
      </c>
      <c r="P979" t="str">
        <f>_xlfn.XLOOKUP(Table1[[#This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cm="1">
        <f t="array" ref="G980">IF(_xlfn.XLOOKUP(C980,customers!$A$1:$A$1001,customers!$C$1:$C$1001,_xleta.N/A,0)=0,"",_xlfn.XLOOKUP(C980,customers!$A$1:$A$1001,customers!$C$1:$C$1001,_xleta.N/A,0))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f t="shared" si="45"/>
        <v>23.31</v>
      </c>
      <c r="N980" t="str">
        <f t="shared" si="46"/>
        <v>Arabica</v>
      </c>
      <c r="O980" t="str">
        <f t="shared" si="47"/>
        <v>Large</v>
      </c>
      <c r="P980" t="str">
        <f>_xlfn.XLOOKUP(Table1[[#This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cm="1">
        <f t="array" ref="G981">IF(_xlfn.XLOOKUP(C981,customers!$A$1:$A$1001,customers!$C$1:$C$1001,_xleta.N/A,0)=0,"",_xlfn.XLOOKUP(C981,customers!$A$1:$A$1001,customers!$C$1:$C$1001,_xleta.N/A,0))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f t="shared" si="45"/>
        <v>10.739999999999998</v>
      </c>
      <c r="N981" t="str">
        <f t="shared" si="46"/>
        <v>Robusta</v>
      </c>
      <c r="O981" t="str">
        <f t="shared" si="47"/>
        <v>Dark</v>
      </c>
      <c r="P981" t="str">
        <f>_xlfn.XLOOKUP(Table1[[#This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cm="1">
        <f t="array" ref="G982">IF(_xlfn.XLOOKUP(C982,customers!$A$1:$A$1001,customers!$C$1:$C$1001,_xleta.N/A,0)=0,"",_xlfn.XLOOKUP(C982,customers!$A$1:$A$1001,customers!$C$1:$C$1001,_xleta.N/A,0))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f t="shared" si="45"/>
        <v>167.67000000000002</v>
      </c>
      <c r="N982" t="str">
        <f t="shared" si="46"/>
        <v>Excelsa</v>
      </c>
      <c r="O982" t="str">
        <f t="shared" si="47"/>
        <v>Dark</v>
      </c>
      <c r="P982" t="str">
        <f>_xlfn.XLOOKUP(Table1[[#This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cm="1">
        <f t="array" ref="G983">IF(_xlfn.XLOOKUP(C983,customers!$A$1:$A$1001,customers!$C$1:$C$1001,_xleta.N/A,0)=0,"",_xlfn.XLOOKUP(C983,customers!$A$1:$A$1001,customers!$C$1:$C$1001,_xleta.N/A,0))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f t="shared" si="45"/>
        <v>21.87</v>
      </c>
      <c r="N983" t="str">
        <f t="shared" si="46"/>
        <v>Excelsa</v>
      </c>
      <c r="O983" t="str">
        <f t="shared" si="47"/>
        <v>Dark</v>
      </c>
      <c r="P983" t="str">
        <f>_xlfn.XLOOKUP(Table1[[#This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cm="1">
        <f t="array" ref="G984">IF(_xlfn.XLOOKUP(C984,customers!$A$1:$A$1001,customers!$C$1:$C$1001,_xleta.N/A,0)=0,"",_xlfn.XLOOKUP(C984,customers!$A$1:$A$1001,customers!$C$1:$C$1001,_xleta.N/A,0))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f t="shared" si="45"/>
        <v>23.9</v>
      </c>
      <c r="N984" t="str">
        <f t="shared" si="46"/>
        <v>Robusta</v>
      </c>
      <c r="O984" t="str">
        <f t="shared" si="47"/>
        <v>Large</v>
      </c>
      <c r="P984" t="str">
        <f>_xlfn.XLOOKUP(Table1[[#This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cm="1">
        <f t="array" ref="G985">IF(_xlfn.XLOOKUP(C985,customers!$A$1:$A$1001,customers!$C$1:$C$1001,_xleta.N/A,0)=0,"",_xlfn.XLOOKUP(C985,customers!$A$1:$A$1001,customers!$C$1:$C$1001,_xleta.N/A,0))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f t="shared" si="45"/>
        <v>6.75</v>
      </c>
      <c r="N985" t="str">
        <f t="shared" si="46"/>
        <v>Arabica</v>
      </c>
      <c r="O985" t="str">
        <f t="shared" si="47"/>
        <v>Medium</v>
      </c>
      <c r="P985" t="str">
        <f>_xlfn.XLOOKUP(Table1[[#This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cm="1">
        <f t="array" ref="G986">IF(_xlfn.XLOOKUP(C986,customers!$A$1:$A$1001,customers!$C$1:$C$1001,_xleta.N/A,0)=0,"",_xlfn.XLOOKUP(C986,customers!$A$1:$A$1001,customers!$C$1:$C$1001,_xleta.N/A,0))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f t="shared" si="45"/>
        <v>31.624999999999996</v>
      </c>
      <c r="N986" t="str">
        <f t="shared" si="46"/>
        <v>Excelsa</v>
      </c>
      <c r="O986" t="str">
        <f t="shared" si="47"/>
        <v>Medium</v>
      </c>
      <c r="P986" t="str">
        <f>_xlfn.XLOOKUP(Table1[[#This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cm="1">
        <f t="array" ref="G987">IF(_xlfn.XLOOKUP(C987,customers!$A$1:$A$1001,customers!$C$1:$C$1001,_xleta.N/A,0)=0,"",_xlfn.XLOOKUP(C987,customers!$A$1:$A$1001,customers!$C$1:$C$1001,_xleta.N/A,0))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f t="shared" si="45"/>
        <v>47.8</v>
      </c>
      <c r="N987" t="str">
        <f t="shared" si="46"/>
        <v>Robusta</v>
      </c>
      <c r="O987" t="str">
        <f t="shared" si="47"/>
        <v>Large</v>
      </c>
      <c r="P987" t="str">
        <f>_xlfn.XLOOKUP(Table1[[#This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cm="1">
        <f t="array" ref="G988">IF(_xlfn.XLOOKUP(C988,customers!$A$1:$A$1001,customers!$C$1:$C$1001,_xleta.N/A,0)=0,"",_xlfn.XLOOKUP(C988,customers!$A$1:$A$1001,customers!$C$1:$C$1001,_xleta.N/A,0))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f t="shared" si="45"/>
        <v>33.464999999999996</v>
      </c>
      <c r="N988" t="str">
        <f t="shared" si="46"/>
        <v>Liberica</v>
      </c>
      <c r="O988" t="str">
        <f t="shared" si="47"/>
        <v>Medium</v>
      </c>
      <c r="P988" t="str">
        <f>_xlfn.XLOOKUP(Table1[[#This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cm="1">
        <f t="array" ref="G989">IF(_xlfn.XLOOKUP(C989,customers!$A$1:$A$1001,customers!$C$1:$C$1001,_xleta.N/A,0)=0,"",_xlfn.XLOOKUP(C989,customers!$A$1:$A$1001,customers!$C$1:$C$1001,_xleta.N/A,0))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f t="shared" si="45"/>
        <v>29.849999999999998</v>
      </c>
      <c r="N989" t="str">
        <f t="shared" si="46"/>
        <v>Arabica</v>
      </c>
      <c r="O989" t="str">
        <f t="shared" si="47"/>
        <v>Dark</v>
      </c>
      <c r="P989" t="str">
        <f>_xlfn.XLOOKUP(Table1[[#This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cm="1">
        <f t="array" ref="G990">IF(_xlfn.XLOOKUP(C990,customers!$A$1:$A$1001,customers!$C$1:$C$1001,_xleta.N/A,0)=0,"",_xlfn.XLOOKUP(C990,customers!$A$1:$A$1001,customers!$C$1:$C$1001,_xleta.N/A,0))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f t="shared" si="45"/>
        <v>29.849999999999998</v>
      </c>
      <c r="N990" t="str">
        <f t="shared" si="46"/>
        <v>Robusta</v>
      </c>
      <c r="O990" t="str">
        <f t="shared" si="47"/>
        <v>Medium</v>
      </c>
      <c r="P990" t="str">
        <f>_xlfn.XLOOKUP(Table1[[#This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cm="1">
        <f t="array" ref="G991">IF(_xlfn.XLOOKUP(C991,customers!$A$1:$A$1001,customers!$C$1:$C$1001,_xleta.N/A,0)=0,"",_xlfn.XLOOKUP(C991,customers!$A$1:$A$1001,customers!$C$1:$C$1001,_xleta.N/A,0))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f t="shared" si="45"/>
        <v>155.24999999999997</v>
      </c>
      <c r="N991" t="str">
        <f t="shared" si="46"/>
        <v>Arabica</v>
      </c>
      <c r="O991" t="str">
        <f t="shared" si="47"/>
        <v>Medium</v>
      </c>
      <c r="P991" t="str">
        <f>_xlfn.XLOOKUP(Table1[[#This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cm="1">
        <f t="array" ref="G992">IF(_xlfn.XLOOKUP(C992,customers!$A$1:$A$1001,customers!$C$1:$C$1001,_xleta.N/A,0)=0,"",_xlfn.XLOOKUP(C992,customers!$A$1:$A$1001,customers!$C$1:$C$1001,_xleta.N/A,0))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f t="shared" si="45"/>
        <v>18.225000000000001</v>
      </c>
      <c r="N992" t="str">
        <f t="shared" si="46"/>
        <v>Excelsa</v>
      </c>
      <c r="O992" t="str">
        <f t="shared" si="47"/>
        <v>Dark</v>
      </c>
      <c r="P992" t="str">
        <f>_xlfn.XLOOKUP(Table1[[#This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cm="1">
        <f t="array" ref="G993">IF(_xlfn.XLOOKUP(C993,customers!$A$1:$A$1001,customers!$C$1:$C$1001,_xleta.N/A,0)=0,"",_xlfn.XLOOKUP(C993,customers!$A$1:$A$1001,customers!$C$1:$C$1001,_xleta.N/A,0))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f t="shared" si="45"/>
        <v>15.54</v>
      </c>
      <c r="N993" t="str">
        <f t="shared" si="46"/>
        <v>Liberica</v>
      </c>
      <c r="O993" t="str">
        <f t="shared" si="47"/>
        <v>Dark</v>
      </c>
      <c r="P993" t="str">
        <f>_xlfn.XLOOKUP(Table1[[#This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cm="1">
        <f t="array" ref="G994">IF(_xlfn.XLOOKUP(C994,customers!$A$1:$A$1001,customers!$C$1:$C$1001,_xleta.N/A,0)=0,"",_xlfn.XLOOKUP(C994,customers!$A$1:$A$1001,customers!$C$1:$C$1001,_xleta.N/A,0))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f t="shared" si="45"/>
        <v>109.36499999999999</v>
      </c>
      <c r="N994" t="str">
        <f t="shared" si="46"/>
        <v>Liberica</v>
      </c>
      <c r="O994" t="str">
        <f t="shared" si="47"/>
        <v>Large</v>
      </c>
      <c r="P994" t="str">
        <f>_xlfn.XLOOKUP(Table1[[#This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cm="1">
        <f t="array" ref="G995">IF(_xlfn.XLOOKUP(C995,customers!$A$1:$A$1001,customers!$C$1:$C$1001,_xleta.N/A,0)=0,"",_xlfn.XLOOKUP(C995,customers!$A$1:$A$1001,customers!$C$1:$C$1001,_xleta.N/A,0))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f t="shared" si="45"/>
        <v>77.699999999999989</v>
      </c>
      <c r="N995" t="str">
        <f t="shared" si="46"/>
        <v>Arabica</v>
      </c>
      <c r="O995" t="str">
        <f t="shared" si="47"/>
        <v>Large</v>
      </c>
      <c r="P995" t="str">
        <f>_xlfn.XLOOKUP(Table1[[#This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cm="1">
        <f t="array" ref="G996">IF(_xlfn.XLOOKUP(C996,customers!$A$1:$A$1001,customers!$C$1:$C$1001,_xleta.N/A,0)=0,"",_xlfn.XLOOKUP(C996,customers!$A$1:$A$1001,customers!$C$1:$C$1001,_xleta.N/A,0))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f t="shared" si="45"/>
        <v>8.9550000000000001</v>
      </c>
      <c r="N996" t="str">
        <f t="shared" si="46"/>
        <v>Arabica</v>
      </c>
      <c r="O996" t="str">
        <f t="shared" si="47"/>
        <v>Dark</v>
      </c>
      <c r="P996" t="str">
        <f>_xlfn.XLOOKUP(Table1[[#This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cm="1">
        <f t="array" ref="G997">IF(_xlfn.XLOOKUP(C997,customers!$A$1:$A$1001,customers!$C$1:$C$1001,_xleta.N/A,0)=0,"",_xlfn.XLOOKUP(C997,customers!$A$1:$A$1001,customers!$C$1:$C$1001,_xleta.N/A,0))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f t="shared" si="45"/>
        <v>27.484999999999996</v>
      </c>
      <c r="N997" t="str">
        <f t="shared" si="46"/>
        <v>Robusta</v>
      </c>
      <c r="O997" t="str">
        <f t="shared" si="47"/>
        <v>Large</v>
      </c>
      <c r="P997" t="str">
        <f>_xlfn.XLOOKUP(Table1[[#This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cm="1">
        <f t="array" ref="G998">IF(_xlfn.XLOOKUP(C998,customers!$A$1:$A$1001,customers!$C$1:$C$1001,_xleta.N/A,0)=0,"",_xlfn.XLOOKUP(C998,customers!$A$1:$A$1001,customers!$C$1:$C$1001,_xleta.N/A,0))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f t="shared" si="45"/>
        <v>29.849999999999998</v>
      </c>
      <c r="N998" t="str">
        <f t="shared" si="46"/>
        <v>Robusta</v>
      </c>
      <c r="O998" t="str">
        <f t="shared" si="47"/>
        <v>Medium</v>
      </c>
      <c r="P998" t="str">
        <f>_xlfn.XLOOKUP(Table1[[#This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cm="1">
        <f t="array" ref="G999">IF(_xlfn.XLOOKUP(C999,customers!$A$1:$A$1001,customers!$C$1:$C$1001,_xleta.N/A,0)=0,"",_xlfn.XLOOKUP(C999,customers!$A$1:$A$1001,customers!$C$1:$C$1001,_xleta.N/A,0))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f t="shared" si="45"/>
        <v>27</v>
      </c>
      <c r="N999" t="str">
        <f t="shared" si="46"/>
        <v>Arabica</v>
      </c>
      <c r="O999" t="str">
        <f t="shared" si="47"/>
        <v>Medium</v>
      </c>
      <c r="P999" t="str">
        <f>_xlfn.XLOOKUP(Table1[[#This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cm="1">
        <f t="array" ref="G1000">IF(_xlfn.XLOOKUP(C1000,customers!$A$1:$A$1001,customers!$C$1:$C$1001,_xleta.N/A,0)=0,"",_xlfn.XLOOKUP(C1000,customers!$A$1:$A$1001,customers!$C$1:$C$1001,_xleta.N/A,0))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f t="shared" si="45"/>
        <v>9.9499999999999993</v>
      </c>
      <c r="N1000" t="str">
        <f t="shared" si="46"/>
        <v>Arabica</v>
      </c>
      <c r="O1000" t="str">
        <f t="shared" si="47"/>
        <v>Dark</v>
      </c>
      <c r="P1000" t="str">
        <f>_xlfn.XLOOKUP(Table1[[#This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cm="1">
        <f t="array" ref="G1001">IF(_xlfn.XLOOKUP(C1001,customers!$A$1:$A$1001,customers!$C$1:$C$1001,_xleta.N/A,0)=0,"",_xlfn.XLOOKUP(C1001,customers!$A$1:$A$1001,customers!$C$1:$C$1001,_xleta.N/A,0))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742" workbookViewId="0">
      <selection activeCell="G2" sqref="G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Coffee Sales Dashboard</vt:lpstr>
      <vt:lpstr>Total Sales</vt:lpstr>
      <vt:lpstr>Country Bar Chart</vt:lpstr>
      <vt:lpstr>Top 5 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shashank joshi</dc:creator>
  <cp:keywords/>
  <dc:description/>
  <cp:lastModifiedBy>shashank joshi</cp:lastModifiedBy>
  <cp:revision/>
  <dcterms:created xsi:type="dcterms:W3CDTF">2022-11-26T09:51:45Z</dcterms:created>
  <dcterms:modified xsi:type="dcterms:W3CDTF">2025-11-13T16:02:10Z</dcterms:modified>
  <cp:category/>
  <cp:contentStatus/>
</cp:coreProperties>
</file>